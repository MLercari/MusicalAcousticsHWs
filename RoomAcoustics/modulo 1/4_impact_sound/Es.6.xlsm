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ssio\Desktop\Acoustics\Room Acoustics\hws\3_impact\"/>
    </mc:Choice>
  </mc:AlternateContent>
  <xr:revisionPtr revIDLastSave="0" documentId="13_ncr:1_{38CBDCC8-1A4A-44E2-9076-872C4CB9AB14}" xr6:coauthVersionLast="45" xr6:coauthVersionMax="45" xr10:uidLastSave="{00000000-0000-0000-0000-000000000000}"/>
  <bookViews>
    <workbookView minimized="1" xWindow="8220" yWindow="2325" windowWidth="10095" windowHeight="894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f0">Sheet1!$H$2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3" i="1" l="1"/>
  <c r="E26" i="1" l="1"/>
  <c r="H4" i="1" s="1"/>
  <c r="J26" i="1"/>
  <c r="J25" i="1"/>
  <c r="E25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9" i="1"/>
  <c r="I10" i="1" a="1"/>
  <c r="I10" i="1" s="1"/>
  <c r="I11" i="1" a="1"/>
  <c r="I11" i="1"/>
  <c r="I12" i="1" a="1"/>
  <c r="I12" i="1" s="1"/>
  <c r="I13" i="1" a="1"/>
  <c r="I13" i="1" s="1"/>
  <c r="I14" i="1" a="1"/>
  <c r="I14" i="1" s="1"/>
  <c r="I15" i="1" a="1"/>
  <c r="I15" i="1"/>
  <c r="I16" i="1" a="1"/>
  <c r="I16" i="1" s="1"/>
  <c r="I17" i="1" a="1"/>
  <c r="I17" i="1"/>
  <c r="I18" i="1" a="1"/>
  <c r="I18" i="1" s="1"/>
  <c r="I19" i="1" a="1"/>
  <c r="I19" i="1"/>
  <c r="I20" i="1" a="1"/>
  <c r="I20" i="1" s="1"/>
  <c r="I21" i="1" a="1"/>
  <c r="I21" i="1"/>
  <c r="I22" i="1" a="1"/>
  <c r="I22" i="1" s="1"/>
  <c r="I23" i="1" a="1"/>
  <c r="I23" i="1"/>
  <c r="I24" i="1" a="1"/>
  <c r="I24" i="1" s="1"/>
  <c r="H2" i="1"/>
  <c r="H3" i="1"/>
  <c r="K2" i="1"/>
  <c r="I9" i="1" a="1"/>
  <c r="I9" i="1" s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9" i="1"/>
  <c r="B2" i="1" l="1"/>
  <c r="G34" i="1"/>
  <c r="G38" i="1"/>
  <c r="G42" i="1"/>
  <c r="G46" i="1"/>
  <c r="G33" i="1"/>
  <c r="G35" i="1"/>
  <c r="G36" i="1"/>
  <c r="G37" i="1"/>
  <c r="G39" i="1"/>
  <c r="G40" i="1"/>
  <c r="G41" i="1"/>
  <c r="G43" i="1"/>
  <c r="G44" i="1"/>
  <c r="G45" i="1"/>
  <c r="G47" i="1"/>
  <c r="G32" i="1"/>
  <c r="H39" i="1"/>
  <c r="H34" i="1"/>
  <c r="H44" i="1"/>
  <c r="H45" i="1"/>
  <c r="H41" i="1"/>
  <c r="H43" i="1"/>
  <c r="H35" i="1"/>
  <c r="H37" i="1"/>
  <c r="H42" i="1"/>
  <c r="J32" i="1"/>
  <c r="H40" i="1"/>
  <c r="H47" i="1"/>
  <c r="H32" i="1"/>
  <c r="H38" i="1"/>
  <c r="H36" i="1"/>
  <c r="H46" i="1"/>
  <c r="I34" i="1" l="1"/>
  <c r="I38" i="1"/>
  <c r="I42" i="1"/>
  <c r="I32" i="1"/>
  <c r="I33" i="1"/>
  <c r="I37" i="1"/>
  <c r="I41" i="1"/>
  <c r="I45" i="1"/>
  <c r="I36" i="1"/>
  <c r="I44" i="1"/>
  <c r="I40" i="1"/>
  <c r="I46" i="1"/>
  <c r="I35" i="1"/>
  <c r="I39" i="1"/>
  <c r="I43" i="1"/>
  <c r="I47" i="1"/>
  <c r="K39" i="1" l="1"/>
  <c r="K44" i="1"/>
  <c r="K33" i="1"/>
  <c r="K37" i="1"/>
  <c r="K41" i="1"/>
  <c r="K45" i="1"/>
  <c r="K43" i="1"/>
  <c r="K40" i="1"/>
  <c r="K34" i="1"/>
  <c r="K38" i="1"/>
  <c r="K42" i="1"/>
  <c r="K46" i="1"/>
  <c r="K35" i="1"/>
  <c r="K47" i="1"/>
  <c r="K36" i="1"/>
  <c r="K32" i="1"/>
  <c r="I48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32" i="1"/>
  <c r="L45" i="1"/>
  <c r="L41" i="1"/>
  <c r="L40" i="1"/>
  <c r="L38" i="1"/>
  <c r="L33" i="1"/>
  <c r="L46" i="1"/>
  <c r="L43" i="1"/>
  <c r="L39" i="1"/>
  <c r="N32" i="1"/>
  <c r="L42" i="1"/>
  <c r="L44" i="1"/>
  <c r="L32" i="1"/>
  <c r="L37" i="1"/>
  <c r="L35" i="1"/>
  <c r="L47" i="1"/>
  <c r="L36" i="1"/>
  <c r="L34" i="1"/>
  <c r="M41" i="1" l="1"/>
  <c r="M40" i="1"/>
  <c r="M39" i="1"/>
  <c r="M43" i="1"/>
  <c r="M35" i="1"/>
  <c r="M38" i="1"/>
  <c r="M34" i="1"/>
  <c r="M33" i="1"/>
  <c r="M42" i="1"/>
  <c r="M46" i="1"/>
  <c r="M44" i="1"/>
  <c r="M47" i="1"/>
  <c r="M37" i="1"/>
  <c r="M36" i="1"/>
  <c r="M32" i="1"/>
  <c r="M45" i="1"/>
  <c r="M4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<sst xmlns="http://schemas.openxmlformats.org/spreadsheetml/2006/main" count="75" uniqueCount="45">
  <si>
    <t>dB</t>
  </si>
  <si>
    <t>Hz</t>
  </si>
  <si>
    <t xml:space="preserve">Hz </t>
  </si>
  <si>
    <r>
      <t>L</t>
    </r>
    <r>
      <rPr>
        <vertAlign val="subscript"/>
        <sz val="11"/>
        <color theme="1"/>
        <rFont val="Calibri"/>
        <family val="2"/>
        <scheme val="minor"/>
      </rPr>
      <t>n,0</t>
    </r>
  </si>
  <si>
    <r>
      <t>L</t>
    </r>
    <r>
      <rPr>
        <vertAlign val="subscript"/>
        <sz val="11"/>
        <color theme="1"/>
        <rFont val="Calibri"/>
        <family val="2"/>
        <scheme val="minor"/>
      </rPr>
      <t>n,t,r0</t>
    </r>
  </si>
  <si>
    <r>
      <t>L</t>
    </r>
    <r>
      <rPr>
        <vertAlign val="subscript"/>
        <sz val="11"/>
        <color theme="1"/>
        <rFont val="Calibri"/>
        <family val="2"/>
        <scheme val="minor"/>
      </rPr>
      <t>n,t,r,0</t>
    </r>
  </si>
  <si>
    <t>s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</si>
  <si>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</si>
  <si>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L</t>
    </r>
    <r>
      <rPr>
        <vertAlign val="subscript"/>
        <sz val="11"/>
        <color theme="1"/>
        <rFont val="Calibri"/>
        <family val="2"/>
        <scheme val="minor"/>
      </rPr>
      <t>n,r,0</t>
    </r>
  </si>
  <si>
    <r>
      <t>L</t>
    </r>
    <r>
      <rPr>
        <vertAlign val="subscript"/>
        <sz val="11"/>
        <color theme="1"/>
        <rFont val="Calibri"/>
        <family val="2"/>
        <scheme val="minor"/>
      </rPr>
      <t>n,r</t>
    </r>
  </si>
  <si>
    <r>
      <t>L</t>
    </r>
    <r>
      <rPr>
        <vertAlign val="subscript"/>
        <sz val="11"/>
        <color theme="1"/>
        <rFont val="Calibri"/>
        <family val="2"/>
        <scheme val="minor"/>
      </rPr>
      <t>n,r,w</t>
    </r>
  </si>
  <si>
    <r>
      <t>MN/m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</si>
  <si>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kg/m</t>
    </r>
    <r>
      <rPr>
        <vertAlign val="superscript"/>
        <sz val="11"/>
        <color theme="1"/>
        <rFont val="Calibri"/>
        <family val="2"/>
        <scheme val="minor"/>
      </rPr>
      <t>2</t>
    </r>
  </si>
  <si>
    <r>
      <t>m'</t>
    </r>
    <r>
      <rPr>
        <vertAlign val="subscript"/>
        <sz val="10"/>
        <rFont val="Calibri"/>
        <family val="2"/>
      </rPr>
      <t>2</t>
    </r>
  </si>
  <si>
    <r>
      <t>m'</t>
    </r>
    <r>
      <rPr>
        <vertAlign val="subscript"/>
        <sz val="10"/>
        <rFont val="Calibri"/>
        <family val="2"/>
      </rPr>
      <t>1</t>
    </r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</si>
  <si>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L</t>
    </r>
    <r>
      <rPr>
        <vertAlign val="subscript"/>
        <sz val="11"/>
        <color theme="1"/>
        <rFont val="Calibri"/>
        <family val="2"/>
        <scheme val="minor"/>
      </rPr>
      <t>r</t>
    </r>
  </si>
  <si>
    <r>
      <t>L</t>
    </r>
    <r>
      <rPr>
        <vertAlign val="subscript"/>
        <sz val="11"/>
        <color theme="1"/>
        <rFont val="Calibri"/>
        <family val="2"/>
        <scheme val="minor"/>
      </rPr>
      <t>n,1</t>
    </r>
  </si>
  <si>
    <r>
      <t>L</t>
    </r>
    <r>
      <rPr>
        <b/>
        <vertAlign val="subscript"/>
        <sz val="11"/>
        <color theme="1"/>
        <rFont val="Calibri"/>
        <family val="2"/>
        <scheme val="minor"/>
      </rPr>
      <t>n,1,w</t>
    </r>
  </si>
  <si>
    <r>
      <t>L</t>
    </r>
    <r>
      <rPr>
        <b/>
        <vertAlign val="subscript"/>
        <sz val="11"/>
        <color theme="1"/>
        <rFont val="Calibri"/>
        <family val="2"/>
        <scheme val="minor"/>
      </rPr>
      <t>n,w,eq</t>
    </r>
  </si>
  <si>
    <r>
      <t>L</t>
    </r>
    <r>
      <rPr>
        <b/>
        <vertAlign val="subscript"/>
        <sz val="11"/>
        <color theme="1"/>
        <rFont val="Calibri"/>
        <family val="2"/>
        <scheme val="minor"/>
      </rPr>
      <t>n,w</t>
    </r>
  </si>
  <si>
    <t>K</t>
  </si>
  <si>
    <r>
      <t>m'</t>
    </r>
    <r>
      <rPr>
        <vertAlign val="subscript"/>
        <sz val="10"/>
        <rFont val="Calibri"/>
        <family val="2"/>
      </rPr>
      <t>1</t>
    </r>
    <r>
      <rPr>
        <sz val="10"/>
        <rFont val="Calibri"/>
        <family val="2"/>
      </rPr>
      <t xml:space="preserve"> + m'</t>
    </r>
    <r>
      <rPr>
        <vertAlign val="subscript"/>
        <sz val="10"/>
        <rFont val="Calibri"/>
        <family val="2"/>
      </rPr>
      <t>2</t>
    </r>
  </si>
  <si>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>L</t>
    </r>
    <r>
      <rPr>
        <b/>
        <vertAlign val="subscript"/>
        <sz val="11"/>
        <color theme="1"/>
        <rFont val="Calibri"/>
        <family val="2"/>
        <scheme val="minor"/>
      </rPr>
      <t>w</t>
    </r>
  </si>
  <si>
    <t>DATA</t>
  </si>
  <si>
    <r>
      <t>m'</t>
    </r>
    <r>
      <rPr>
        <vertAlign val="subscript"/>
        <sz val="10"/>
        <rFont val="Calibri"/>
        <family val="2"/>
      </rPr>
      <t>wall</t>
    </r>
  </si>
  <si>
    <r>
      <t>f</t>
    </r>
    <r>
      <rPr>
        <vertAlign val="subscript"/>
        <sz val="10"/>
        <rFont val="Calibri"/>
        <family val="2"/>
      </rPr>
      <t>0 screed</t>
    </r>
  </si>
  <si>
    <r>
      <t>f</t>
    </r>
    <r>
      <rPr>
        <vertAlign val="subscript"/>
        <sz val="10"/>
        <rFont val="Calibri"/>
        <family val="2"/>
      </rPr>
      <t>0 floor</t>
    </r>
  </si>
  <si>
    <r>
      <t>Massa per unit  area of the separating elements (floor kg/m</t>
    </r>
    <r>
      <rPr>
        <vertAlign val="superscript"/>
        <sz val="8"/>
        <color theme="1"/>
        <rFont val="Calibri"/>
        <family val="2"/>
        <scheme val="minor"/>
      </rPr>
      <t>2</t>
    </r>
  </si>
  <si>
    <r>
      <t xml:space="preserve">     Mean mass per unit area of the homogeneous flanking elements not covered with additional layers in kg/m</t>
    </r>
    <r>
      <rPr>
        <vertAlign val="superscript"/>
        <sz val="8"/>
        <color theme="1"/>
        <rFont val="Calibri"/>
        <family val="2"/>
        <scheme val="minor"/>
      </rPr>
      <t>2</t>
    </r>
  </si>
  <si>
    <t>Frequency</t>
  </si>
  <si>
    <t>Residual</t>
  </si>
  <si>
    <t>Reference curve to calculate one-value quantity</t>
  </si>
  <si>
    <t>Bare floor one-value quantity</t>
  </si>
  <si>
    <r>
      <t>O-V-Q   L</t>
    </r>
    <r>
      <rPr>
        <vertAlign val="subscript"/>
        <sz val="11"/>
        <color theme="1"/>
        <rFont val="Calibri"/>
        <family val="2"/>
        <scheme val="minor"/>
      </rPr>
      <t>n,1,w</t>
    </r>
  </si>
  <si>
    <r>
      <t>O-V-Q L</t>
    </r>
    <r>
      <rPr>
        <vertAlign val="subscript"/>
        <sz val="11"/>
        <color theme="1"/>
        <rFont val="Calibri"/>
        <family val="2"/>
        <scheme val="minor"/>
      </rPr>
      <t>n,r,w</t>
    </r>
  </si>
  <si>
    <t>Dev.</t>
  </si>
  <si>
    <t>repositioned reference curve</t>
  </si>
  <si>
    <t xml:space="preserve"> Reference values, dB</t>
  </si>
  <si>
    <t>one-third octave bands</t>
  </si>
  <si>
    <t>Octave bands</t>
  </si>
  <si>
    <t>Standard floor with screes one-value quantity</t>
  </si>
  <si>
    <t>RESULTS</t>
  </si>
  <si>
    <t>(graphics use only)</t>
  </si>
  <si>
    <t>reference floor with actual flooring</t>
  </si>
  <si>
    <t>actual bare floor with reference flooring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</si>
</sst>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11" x14ac:knownFonts="1">
    <font>
      <sz val="11"/>
      <color theme="1"/>
      <name val="Calibri"/>
      <family val="2"/>
      <scheme val="minor"/>
    </font>
    <font>
      <sz val="10"/>
      <name val="Calibri"/>
      <family val="2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perscript"/>
      <sz val="8"/>
      <color theme="1"/>
      <name val="Calibri"/>
      <family val="2"/>
      <scheme val="minor"/>
    </font>
    <font>
      <vertAlign val="subscript"/>
      <sz val="10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3" xfId="0" applyBorder="1"/>
    <xf numFmtId="0" fontId="0" fillId="0" borderId="2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/>
    <xf numFmtId="3" fontId="0" fillId="0" borderId="1" xfId="0" applyNumberFormat="1" applyBorder="1" applyAlignment="1">
      <alignment horizontal="center" vertical="center"/>
    </xf>
    <xf numFmtId="164" fontId="1" fillId="0" borderId="0" xfId="0" applyNumberFormat="1" applyFont="1"/>
    <xf numFmtId="0" fontId="2" fillId="0" borderId="11" xfId="0" applyFont="1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5" fillId="0" borderId="0" xfId="0" applyFont="1"/>
    <xf numFmtId="164" fontId="0" fillId="2" borderId="0" xfId="0" applyNumberFormat="1" applyFill="1"/>
    <xf numFmtId="0" fontId="0" fillId="0" borderId="0" xfId="0" applyAlignment="1">
      <alignment wrapText="1"/>
    </xf>
    <xf numFmtId="0" fontId="0" fillId="0" borderId="4" xfId="0" applyBorder="1" applyAlignment="1">
      <alignment horizontal="left"/>
    </xf>
    <xf numFmtId="0" fontId="5" fillId="0" borderId="6" xfId="0" applyFont="1" applyBorder="1" applyAlignment="1">
      <alignment horizontal="center" vertical="center"/>
    </xf>
    <xf numFmtId="164" fontId="5" fillId="0" borderId="6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164" fontId="0" fillId="0" borderId="3" xfId="0" applyNumberFormat="1" applyBorder="1"/>
    <xf numFmtId="0" fontId="0" fillId="0" borderId="1" xfId="0" applyBorder="1"/>
    <xf numFmtId="164" fontId="0" fillId="0" borderId="2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4" fontId="5" fillId="0" borderId="6" xfId="0" applyNumberFormat="1" applyFont="1" applyBorder="1" applyAlignment="1">
      <alignment horizontal="center" vertical="center"/>
    </xf>
    <xf numFmtId="164" fontId="5" fillId="0" borderId="6" xfId="0" applyNumberFormat="1" applyFont="1" applyBorder="1"/>
    <xf numFmtId="164" fontId="5" fillId="0" borderId="2" xfId="0" applyNumberFormat="1" applyFont="1" applyBorder="1"/>
    <xf numFmtId="165" fontId="0" fillId="0" borderId="0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164" fontId="0" fillId="3" borderId="2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" fillId="0" borderId="13" xfId="0" applyFont="1" applyBorder="1" applyAlignment="1">
      <alignment horizontal="center" wrapText="1"/>
    </xf>
    <xf numFmtId="0" fontId="0" fillId="0" borderId="14" xfId="0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09943475832687"/>
          <c:y val="0.19110694444488496"/>
          <c:w val="0.80519257034192371"/>
          <c:h val="0.66876980413039111"/>
        </c:manualLayout>
      </c:layout>
      <c:scatterChart>
        <c:scatterStyle val="lineMarker"/>
        <c:varyColors val="0"/>
        <c:ser>
          <c:idx val="0"/>
          <c:order val="0"/>
          <c:tx>
            <c:v>Reference</c:v>
          </c:tx>
          <c:marker>
            <c:symbol val="none"/>
          </c:marker>
          <c:xVal>
            <c:numRef>
              <c:f>Sheet1!$B$32:$B$47</c:f>
              <c:numCache>
                <c:formatCode>0.0</c:formatCode>
                <c:ptCount val="16"/>
                <c:pt idx="0">
                  <c:v>20</c:v>
                </c:pt>
                <c:pt idx="1">
                  <c:v>20.969100130080562</c:v>
                </c:pt>
                <c:pt idx="2">
                  <c:v>22.041199826559247</c:v>
                </c:pt>
                <c:pt idx="3">
                  <c:v>23.010299956639813</c:v>
                </c:pt>
                <c:pt idx="4">
                  <c:v>23.979400086720375</c:v>
                </c:pt>
                <c:pt idx="5">
                  <c:v>24.983105537896005</c:v>
                </c:pt>
                <c:pt idx="6">
                  <c:v>26.020599913279625</c:v>
                </c:pt>
                <c:pt idx="7">
                  <c:v>26.989700043360187</c:v>
                </c:pt>
                <c:pt idx="8">
                  <c:v>27.993405494535818</c:v>
                </c:pt>
                <c:pt idx="9">
                  <c:v>29.030899869919438</c:v>
                </c:pt>
                <c:pt idx="10">
                  <c:v>30</c:v>
                </c:pt>
                <c:pt idx="11">
                  <c:v>30.969100130080562</c:v>
                </c:pt>
                <c:pt idx="12">
                  <c:v>32.041199826559243</c:v>
                </c:pt>
                <c:pt idx="13">
                  <c:v>33.010299956639813</c:v>
                </c:pt>
                <c:pt idx="14">
                  <c:v>33.979400086720375</c:v>
                </c:pt>
                <c:pt idx="15">
                  <c:v>34.983105537896002</c:v>
                </c:pt>
              </c:numCache>
            </c:numRef>
          </c:xVal>
          <c:yVal>
            <c:numRef>
              <c:f>Sheet1!$D$32:$D$47</c:f>
              <c:numCache>
                <c:formatCode>General</c:formatCode>
                <c:ptCount val="16"/>
                <c:pt idx="0">
                  <c:v>62</c:v>
                </c:pt>
                <c:pt idx="1">
                  <c:v>62</c:v>
                </c:pt>
                <c:pt idx="2">
                  <c:v>62</c:v>
                </c:pt>
                <c:pt idx="3">
                  <c:v>62</c:v>
                </c:pt>
                <c:pt idx="4">
                  <c:v>62</c:v>
                </c:pt>
                <c:pt idx="5">
                  <c:v>62</c:v>
                </c:pt>
                <c:pt idx="6">
                  <c:v>61</c:v>
                </c:pt>
                <c:pt idx="7">
                  <c:v>60</c:v>
                </c:pt>
                <c:pt idx="8">
                  <c:v>59</c:v>
                </c:pt>
                <c:pt idx="9">
                  <c:v>58</c:v>
                </c:pt>
                <c:pt idx="10">
                  <c:v>57</c:v>
                </c:pt>
                <c:pt idx="11">
                  <c:v>54</c:v>
                </c:pt>
                <c:pt idx="12">
                  <c:v>51</c:v>
                </c:pt>
                <c:pt idx="13">
                  <c:v>48</c:v>
                </c:pt>
                <c:pt idx="14">
                  <c:v>45</c:v>
                </c:pt>
                <c:pt idx="15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49-4BE8-8CA3-975DAFD38C0C}"/>
            </c:ext>
          </c:extLst>
        </c:ser>
        <c:ser>
          <c:idx val="1"/>
          <c:order val="1"/>
          <c:tx>
            <c:v>Measured</c:v>
          </c:tx>
          <c:marker>
            <c:symbol val="none"/>
          </c:marker>
          <c:xVal>
            <c:numRef>
              <c:f>Sheet1!$B$32:$B$47</c:f>
              <c:numCache>
                <c:formatCode>0.0</c:formatCode>
                <c:ptCount val="16"/>
                <c:pt idx="0">
                  <c:v>20</c:v>
                </c:pt>
                <c:pt idx="1">
                  <c:v>20.969100130080562</c:v>
                </c:pt>
                <c:pt idx="2">
                  <c:v>22.041199826559247</c:v>
                </c:pt>
                <c:pt idx="3">
                  <c:v>23.010299956639813</c:v>
                </c:pt>
                <c:pt idx="4">
                  <c:v>23.979400086720375</c:v>
                </c:pt>
                <c:pt idx="5">
                  <c:v>24.983105537896005</c:v>
                </c:pt>
                <c:pt idx="6">
                  <c:v>26.020599913279625</c:v>
                </c:pt>
                <c:pt idx="7">
                  <c:v>26.989700043360187</c:v>
                </c:pt>
                <c:pt idx="8">
                  <c:v>27.993405494535818</c:v>
                </c:pt>
                <c:pt idx="9">
                  <c:v>29.030899869919438</c:v>
                </c:pt>
                <c:pt idx="10">
                  <c:v>30</c:v>
                </c:pt>
                <c:pt idx="11">
                  <c:v>30.969100130080562</c:v>
                </c:pt>
                <c:pt idx="12">
                  <c:v>32.041199826559243</c:v>
                </c:pt>
                <c:pt idx="13">
                  <c:v>33.010299956639813</c:v>
                </c:pt>
                <c:pt idx="14">
                  <c:v>33.979400086720375</c:v>
                </c:pt>
                <c:pt idx="15">
                  <c:v>34.983105537896002</c:v>
                </c:pt>
              </c:numCache>
            </c:numRef>
          </c:xVal>
          <c:yVal>
            <c:numRef>
              <c:f>Sheet1!$K$32:$K$47</c:f>
              <c:numCache>
                <c:formatCode>0.0</c:formatCode>
                <c:ptCount val="16"/>
                <c:pt idx="0">
                  <c:v>65.546349804879156</c:v>
                </c:pt>
                <c:pt idx="1">
                  <c:v>63.139049414637462</c:v>
                </c:pt>
                <c:pt idx="2">
                  <c:v>60.422750325201413</c:v>
                </c:pt>
                <c:pt idx="3">
                  <c:v>58.015449934959719</c:v>
                </c:pt>
                <c:pt idx="4">
                  <c:v>55.608149544718025</c:v>
                </c:pt>
                <c:pt idx="5">
                  <c:v>53.097033191191144</c:v>
                </c:pt>
                <c:pt idx="6">
                  <c:v>50.484550065040281</c:v>
                </c:pt>
                <c:pt idx="7">
                  <c:v>48.077249674798594</c:v>
                </c:pt>
                <c:pt idx="8">
                  <c:v>45.566133321271707</c:v>
                </c:pt>
                <c:pt idx="9">
                  <c:v>42.953650195120844</c:v>
                </c:pt>
                <c:pt idx="10">
                  <c:v>40.546349804879156</c:v>
                </c:pt>
                <c:pt idx="11">
                  <c:v>37.639049414637462</c:v>
                </c:pt>
                <c:pt idx="12">
                  <c:v>34.422750325201413</c:v>
                </c:pt>
                <c:pt idx="13">
                  <c:v>31.515449934959719</c:v>
                </c:pt>
                <c:pt idx="14">
                  <c:v>28.608149544718025</c:v>
                </c:pt>
                <c:pt idx="15">
                  <c:v>25.597033191191137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49-4BE8-8CA3-975DAFD38C0C}"/>
            </c:ext>
          </c:extLst>
        </c:ser>
        <c:ser>
          <c:idx val="2"/>
          <c:order val="2"/>
          <c:tx>
            <c:v>Repositioned ref.</c:v>
          </c:tx>
          <c:marker>
            <c:symbol val="none"/>
          </c:marker>
          <c:xVal>
            <c:numRef>
              <c:f>Sheet1!$B$32:$B$47</c:f>
              <c:numCache>
                <c:formatCode>0.0</c:formatCode>
                <c:ptCount val="16"/>
                <c:pt idx="0">
                  <c:v>20</c:v>
                </c:pt>
                <c:pt idx="1">
                  <c:v>20.969100130080562</c:v>
                </c:pt>
                <c:pt idx="2">
                  <c:v>22.041199826559247</c:v>
                </c:pt>
                <c:pt idx="3">
                  <c:v>23.010299956639813</c:v>
                </c:pt>
                <c:pt idx="4">
                  <c:v>23.979400086720375</c:v>
                </c:pt>
                <c:pt idx="5">
                  <c:v>24.983105537896005</c:v>
                </c:pt>
                <c:pt idx="6">
                  <c:v>26.020599913279625</c:v>
                </c:pt>
                <c:pt idx="7">
                  <c:v>26.989700043360187</c:v>
                </c:pt>
                <c:pt idx="8">
                  <c:v>27.993405494535818</c:v>
                </c:pt>
                <c:pt idx="9">
                  <c:v>29.030899869919438</c:v>
                </c:pt>
                <c:pt idx="10">
                  <c:v>30</c:v>
                </c:pt>
                <c:pt idx="11">
                  <c:v>30.969100130080562</c:v>
                </c:pt>
                <c:pt idx="12">
                  <c:v>32.041199826559243</c:v>
                </c:pt>
                <c:pt idx="13">
                  <c:v>33.010299956639813</c:v>
                </c:pt>
                <c:pt idx="14">
                  <c:v>33.979400086720375</c:v>
                </c:pt>
                <c:pt idx="15">
                  <c:v>34.983105537896002</c:v>
                </c:pt>
              </c:numCache>
            </c:numRef>
          </c:xVal>
          <c:yVal>
            <c:numRef>
              <c:f>Sheet1!$L$32:$L$47</c:f>
              <c:numCache>
                <c:formatCode>0.0</c:formatCode>
                <c:ptCount val="16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54</c:v>
                </c:pt>
                <c:pt idx="7">
                  <c:v>53</c:v>
                </c:pt>
                <c:pt idx="8">
                  <c:v>52</c:v>
                </c:pt>
                <c:pt idx="9">
                  <c:v>51</c:v>
                </c:pt>
                <c:pt idx="10">
                  <c:v>50</c:v>
                </c:pt>
                <c:pt idx="11">
                  <c:v>47</c:v>
                </c:pt>
                <c:pt idx="12">
                  <c:v>44</c:v>
                </c:pt>
                <c:pt idx="13">
                  <c:v>41</c:v>
                </c:pt>
                <c:pt idx="14">
                  <c:v>38</c:v>
                </c:pt>
                <c:pt idx="15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49-4BE8-8CA3-975DAFD38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3244624"/>
        <c:axId val="1573247344"/>
      </c:scatterChart>
      <c:valAx>
        <c:axId val="1573244624"/>
        <c:scaling>
          <c:orientation val="minMax"/>
          <c:max val="35"/>
          <c:min val="20"/>
        </c:scaling>
        <c:delete val="0"/>
        <c:axPos val="b"/>
        <c:majorGridlines/>
        <c:minorGridlines/>
        <c:numFmt formatCode="0.0" sourceLinked="1"/>
        <c:majorTickMark val="cross"/>
        <c:minorTickMark val="out"/>
        <c:tickLblPos val="none"/>
        <c:crossAx val="1573247344"/>
        <c:crosses val="autoZero"/>
        <c:crossBetween val="midCat"/>
        <c:majorUnit val="5"/>
        <c:minorUnit val="1"/>
      </c:valAx>
      <c:valAx>
        <c:axId val="157324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3244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194681213774287"/>
          <c:y val="0.58392177764953557"/>
          <c:w val="0.31145799656156259"/>
          <c:h val="0.2609179464161670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09943475832687"/>
          <c:y val="0.19110694444488496"/>
          <c:w val="0.80519257034192371"/>
          <c:h val="0.66876980413039111"/>
        </c:manualLayout>
      </c:layout>
      <c:scatterChart>
        <c:scatterStyle val="lineMarker"/>
        <c:varyColors val="0"/>
        <c:ser>
          <c:idx val="0"/>
          <c:order val="0"/>
          <c:tx>
            <c:v>Reference</c:v>
          </c:tx>
          <c:marker>
            <c:symbol val="none"/>
          </c:marker>
          <c:xVal>
            <c:numRef>
              <c:f>Sheet1!$B$32:$B$47</c:f>
              <c:numCache>
                <c:formatCode>#,#00</c:formatCode>
                <c:ptCount val="16"/>
                <c:pt idx="0">
                  <c:v>20</c:v>
                </c:pt>
                <c:pt idx="1">
                  <c:v>20.969100130080562</c:v>
                </c:pt>
                <c:pt idx="2">
                  <c:v>22.041199826559247</c:v>
                </c:pt>
                <c:pt idx="3">
                  <c:v>23.010299956639813</c:v>
                </c:pt>
                <c:pt idx="4">
                  <c:v>23.979400086720375</c:v>
                </c:pt>
                <c:pt idx="5">
                  <c:v>24.983105537896005</c:v>
                </c:pt>
                <c:pt idx="6">
                  <c:v>26.020599913279625</c:v>
                </c:pt>
                <c:pt idx="7">
                  <c:v>26.989700043360187</c:v>
                </c:pt>
                <c:pt idx="8">
                  <c:v>27.993405494535818</c:v>
                </c:pt>
                <c:pt idx="9">
                  <c:v>29.030899869919438</c:v>
                </c:pt>
                <c:pt idx="10">
                  <c:v>30</c:v>
                </c:pt>
                <c:pt idx="11">
                  <c:v>30.969100130080562</c:v>
                </c:pt>
                <c:pt idx="12">
                  <c:v>32.041199826559243</c:v>
                </c:pt>
                <c:pt idx="13">
                  <c:v>33.010299956639813</c:v>
                </c:pt>
                <c:pt idx="14">
                  <c:v>33.979400086720375</c:v>
                </c:pt>
                <c:pt idx="15">
                  <c:v>34.983105537896002</c:v>
                </c:pt>
              </c:numCache>
            </c:numRef>
          </c:xVal>
          <c:yVal>
            <c:numRef>
              <c:f>Sheet1!$D$32:$D$47</c:f>
              <c:numCache>
                <c:formatCode>General</c:formatCode>
                <c:ptCount val="16"/>
                <c:pt idx="0">
                  <c:v>62</c:v>
                </c:pt>
                <c:pt idx="1">
                  <c:v>62</c:v>
                </c:pt>
                <c:pt idx="2">
                  <c:v>62</c:v>
                </c:pt>
                <c:pt idx="3">
                  <c:v>62</c:v>
                </c:pt>
                <c:pt idx="4">
                  <c:v>62</c:v>
                </c:pt>
                <c:pt idx="5">
                  <c:v>62</c:v>
                </c:pt>
                <c:pt idx="6">
                  <c:v>61</c:v>
                </c:pt>
                <c:pt idx="7">
                  <c:v>60</c:v>
                </c:pt>
                <c:pt idx="8">
                  <c:v>59</c:v>
                </c:pt>
                <c:pt idx="9">
                  <c:v>58</c:v>
                </c:pt>
                <c:pt idx="10">
                  <c:v>57</c:v>
                </c:pt>
                <c:pt idx="11">
                  <c:v>54</c:v>
                </c:pt>
                <c:pt idx="12">
                  <c:v>51</c:v>
                </c:pt>
                <c:pt idx="13">
                  <c:v>48</c:v>
                </c:pt>
                <c:pt idx="14">
                  <c:v>45</c:v>
                </c:pt>
                <c:pt idx="15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3B-4F84-ACC6-FEFD51DE8F2E}"/>
            </c:ext>
          </c:extLst>
        </c:ser>
        <c:ser>
          <c:idx val="1"/>
          <c:order val="1"/>
          <c:tx>
            <c:v>Measured</c:v>
          </c:tx>
          <c:marker>
            <c:symbol val="none"/>
          </c:marker>
          <c:xVal>
            <c:numRef>
              <c:f>Sheet1!$B$32:$B$47</c:f>
              <c:numCache>
                <c:formatCode>#,#00</c:formatCode>
                <c:ptCount val="16"/>
                <c:pt idx="0">
                  <c:v>20</c:v>
                </c:pt>
                <c:pt idx="1">
                  <c:v>20.969100130080562</c:v>
                </c:pt>
                <c:pt idx="2">
                  <c:v>22.041199826559247</c:v>
                </c:pt>
                <c:pt idx="3">
                  <c:v>23.010299956639813</c:v>
                </c:pt>
                <c:pt idx="4">
                  <c:v>23.979400086720375</c:v>
                </c:pt>
                <c:pt idx="5">
                  <c:v>24.983105537896005</c:v>
                </c:pt>
                <c:pt idx="6">
                  <c:v>26.020599913279625</c:v>
                </c:pt>
                <c:pt idx="7">
                  <c:v>26.989700043360187</c:v>
                </c:pt>
                <c:pt idx="8">
                  <c:v>27.993405494535818</c:v>
                </c:pt>
                <c:pt idx="9">
                  <c:v>29.030899869919438</c:v>
                </c:pt>
                <c:pt idx="10">
                  <c:v>30</c:v>
                </c:pt>
                <c:pt idx="11">
                  <c:v>30.969100130080562</c:v>
                </c:pt>
                <c:pt idx="12">
                  <c:v>32.041199826559243</c:v>
                </c:pt>
                <c:pt idx="13">
                  <c:v>33.010299956639813</c:v>
                </c:pt>
                <c:pt idx="14">
                  <c:v>33.979400086720375</c:v>
                </c:pt>
                <c:pt idx="15">
                  <c:v>34.983105537896002</c:v>
                </c:pt>
              </c:numCache>
            </c:numRef>
          </c:xVal>
          <c:yVal>
            <c:numRef>
              <c:f>Sheet1!$G$32:$G$47</c:f>
              <c:numCache>
                <c:formatCode>0.0</c:formatCode>
                <c:ptCount val="16"/>
                <c:pt idx="0">
                  <c:v>60</c:v>
                </c:pt>
                <c:pt idx="1">
                  <c:v>61.453650195120844</c:v>
                </c:pt>
                <c:pt idx="2">
                  <c:v>63.061799739838868</c:v>
                </c:pt>
                <c:pt idx="3">
                  <c:v>62.515449934959719</c:v>
                </c:pt>
                <c:pt idx="4">
                  <c:v>59.969100130080562</c:v>
                </c:pt>
                <c:pt idx="5">
                  <c:v>57.474658306844006</c:v>
                </c:pt>
                <c:pt idx="6">
                  <c:v>55.030899869919438</c:v>
                </c:pt>
                <c:pt idx="7">
                  <c:v>52.484550065040281</c:v>
                </c:pt>
                <c:pt idx="8">
                  <c:v>49.990108241803725</c:v>
                </c:pt>
                <c:pt idx="9">
                  <c:v>47.546349804879156</c:v>
                </c:pt>
                <c:pt idx="10">
                  <c:v>45</c:v>
                </c:pt>
                <c:pt idx="11">
                  <c:v>46.453650195120844</c:v>
                </c:pt>
                <c:pt idx="12">
                  <c:v>48.061799739838875</c:v>
                </c:pt>
                <c:pt idx="13">
                  <c:v>49.515449934959719</c:v>
                </c:pt>
                <c:pt idx="14">
                  <c:v>50.969100130080562</c:v>
                </c:pt>
                <c:pt idx="15">
                  <c:v>52.474658306844006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3B-4F84-ACC6-FEFD51DE8F2E}"/>
            </c:ext>
          </c:extLst>
        </c:ser>
        <c:ser>
          <c:idx val="2"/>
          <c:order val="2"/>
          <c:tx>
            <c:v>Repositioned ref.</c:v>
          </c:tx>
          <c:marker>
            <c:symbol val="none"/>
          </c:marker>
          <c:xVal>
            <c:numRef>
              <c:f>Sheet1!$B$32:$B$47</c:f>
              <c:numCache>
                <c:formatCode>#,#00</c:formatCode>
                <c:ptCount val="16"/>
                <c:pt idx="0">
                  <c:v>20</c:v>
                </c:pt>
                <c:pt idx="1">
                  <c:v>20.969100130080562</c:v>
                </c:pt>
                <c:pt idx="2">
                  <c:v>22.041199826559247</c:v>
                </c:pt>
                <c:pt idx="3">
                  <c:v>23.010299956639813</c:v>
                </c:pt>
                <c:pt idx="4">
                  <c:v>23.979400086720375</c:v>
                </c:pt>
                <c:pt idx="5">
                  <c:v>24.983105537896005</c:v>
                </c:pt>
                <c:pt idx="6">
                  <c:v>26.020599913279625</c:v>
                </c:pt>
                <c:pt idx="7">
                  <c:v>26.989700043360187</c:v>
                </c:pt>
                <c:pt idx="8">
                  <c:v>27.993405494535818</c:v>
                </c:pt>
                <c:pt idx="9">
                  <c:v>29.030899869919438</c:v>
                </c:pt>
                <c:pt idx="10">
                  <c:v>30</c:v>
                </c:pt>
                <c:pt idx="11">
                  <c:v>30.969100130080562</c:v>
                </c:pt>
                <c:pt idx="12">
                  <c:v>32.041199826559243</c:v>
                </c:pt>
                <c:pt idx="13">
                  <c:v>33.010299956639813</c:v>
                </c:pt>
                <c:pt idx="14">
                  <c:v>33.979400086720375</c:v>
                </c:pt>
                <c:pt idx="15">
                  <c:v>34.983105537896002</c:v>
                </c:pt>
              </c:numCache>
            </c:numRef>
          </c:xVal>
          <c:yVal>
            <c:numRef>
              <c:f>Sheet1!$H$32:$H$47</c:f>
              <c:numCache>
                <c:formatCode>#,#00</c:formatCode>
                <c:ptCount val="16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58</c:v>
                </c:pt>
                <c:pt idx="8">
                  <c:v>57</c:v>
                </c:pt>
                <c:pt idx="9">
                  <c:v>56</c:v>
                </c:pt>
                <c:pt idx="10">
                  <c:v>55</c:v>
                </c:pt>
                <c:pt idx="11">
                  <c:v>52</c:v>
                </c:pt>
                <c:pt idx="12">
                  <c:v>49</c:v>
                </c:pt>
                <c:pt idx="13">
                  <c:v>46</c:v>
                </c:pt>
                <c:pt idx="14">
                  <c:v>43</c:v>
                </c:pt>
                <c:pt idx="15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3B-4F84-ACC6-FEFD51DE8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3248432"/>
        <c:axId val="1573250064"/>
      </c:scatterChart>
      <c:valAx>
        <c:axId val="1573248432"/>
        <c:scaling>
          <c:orientation val="minMax"/>
          <c:max val="35"/>
          <c:min val="20"/>
        </c:scaling>
        <c:delete val="0"/>
        <c:axPos val="b"/>
        <c:majorGridlines/>
        <c:minorGridlines/>
        <c:numFmt formatCode="#,#00" sourceLinked="1"/>
        <c:majorTickMark val="cross"/>
        <c:minorTickMark val="out"/>
        <c:tickLblPos val="none"/>
        <c:crossAx val="1573250064"/>
        <c:crosses val="autoZero"/>
        <c:crossBetween val="midCat"/>
        <c:majorUnit val="5"/>
        <c:minorUnit val="1"/>
      </c:valAx>
      <c:valAx>
        <c:axId val="1573250064"/>
        <c:scaling>
          <c:orientation val="minMax"/>
          <c:max val="70"/>
          <c:min val="3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3248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348357770801063"/>
          <c:y val="0.19371837008220885"/>
          <c:w val="0.28953371226553914"/>
          <c:h val="0.21850439587867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161913</xdr:colOff>
      <xdr:row>48</xdr:row>
      <xdr:rowOff>175080</xdr:rowOff>
    </xdr:from>
    <xdr:to>
      <xdr:col>17</xdr:col>
      <xdr:colOff>126361</xdr:colOff>
      <xdr:row>65</xdr:row>
      <xdr:rowOff>20874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547415</xdr:colOff>
      <xdr:row>49</xdr:row>
      <xdr:rowOff>21896</xdr:rowOff>
    </xdr:from>
    <xdr:to>
      <xdr:col>9</xdr:col>
      <xdr:colOff>271001</xdr:colOff>
      <xdr:row>65</xdr:row>
      <xdr:rowOff>53810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0.07867</cdr:x>
      <cdr:y>0.85967</cdr:y>
    </cdr:from>
    <cdr:to>
      <cdr:x>0.93178</cdr:x>
      <cdr:y>1</cdr:y>
    </cdr:to>
    <cdr:grpSp>
      <cdr:nvGrpSpPr>
        <cdr:cNvPr id="23" name="Group 22">
          <a:extLst xmlns:a="http://schemas.openxmlformats.org/drawingml/2006/main">
            <a:ext uri="{FF2B5EF4-FFF2-40B4-BE49-F238E27FC236}">
              <a16:creationId xmlns:a16="http://schemas.microsoft.com/office/drawing/2014/main" id="{5D8326B1-227D-46FD-8844-0B7ACFA9B16B}"/>
            </a:ext>
          </a:extLst>
        </cdr:cNvPr>
        <cdr:cNvGrpSpPr/>
      </cdr:nvGrpSpPr>
      <cdr:grpSpPr>
        <a:xfrm xmlns:a="http://schemas.openxmlformats.org/drawingml/2006/main">
          <a:off x="346392" y="2651475"/>
          <a:ext cx="3756327" cy="432819"/>
          <a:chOff x="359626" y="2657116"/>
          <a:chExt cx="3467073" cy="433747"/>
        </a:xfrm>
      </cdr:grpSpPr>
      <cdr:grpSp>
        <cdr:nvGrpSpPr>
          <cdr:cNvPr id="21" name="Group 20">
            <a:extLst xmlns:a="http://schemas.openxmlformats.org/drawingml/2006/main">
              <a:ext uri="{FF2B5EF4-FFF2-40B4-BE49-F238E27FC236}">
                <a16:creationId xmlns:a16="http://schemas.microsoft.com/office/drawing/2014/main" id="{450ECC32-215C-4F0B-8539-8FAC2D74A247}"/>
              </a:ext>
            </a:extLst>
          </cdr:cNvPr>
          <cdr:cNvGrpSpPr/>
        </cdr:nvGrpSpPr>
        <cdr:grpSpPr>
          <a:xfrm xmlns:a="http://schemas.openxmlformats.org/drawingml/2006/main">
            <a:off x="359626" y="2657116"/>
            <a:ext cx="2165872" cy="361950"/>
            <a:chOff x="352823" y="2653715"/>
            <a:chExt cx="2165873" cy="361950"/>
          </a:xfrm>
        </cdr:grpSpPr>
        <cdr:sp macro="" textlink="">
          <cdr:nvSpPr>
            <cdr:cNvPr id="2" name="TextBox 1"/>
            <cdr:cNvSpPr txBox="1"/>
          </cdr:nvSpPr>
          <cdr:spPr>
            <a:xfrm xmlns:a="http://schemas.openxmlformats.org/drawingml/2006/main" rot="-5400000">
              <a:off x="271845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none" rtlCol="0"/>
            <a:lstStyle xmlns:a="http://schemas.openxmlformats.org/drawingml/2006/main"/>
            <a:p xmlns:a="http://schemas.openxmlformats.org/drawingml/2006/main">
              <a:r>
                <a:rPr lang="it-IT" sz="1000" baseline="0"/>
                <a:t>100</a:t>
              </a:r>
            </a:p>
          </cdr:txBody>
        </cdr:sp>
        <cdr:sp macro="" textlink="">
          <cdr:nvSpPr>
            <cdr:cNvPr id="4" name="TextBox 1"/>
            <cdr:cNvSpPr txBox="1"/>
          </cdr:nvSpPr>
          <cdr:spPr>
            <a:xfrm xmlns:a="http://schemas.openxmlformats.org/drawingml/2006/main" rot="-5400000">
              <a:off x="49783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125	</a:t>
              </a:r>
            </a:p>
          </cdr:txBody>
        </cdr:sp>
        <cdr:sp macro="" textlink="">
          <cdr:nvSpPr>
            <cdr:cNvPr id="5" name="TextBox 1"/>
            <cdr:cNvSpPr txBox="1"/>
          </cdr:nvSpPr>
          <cdr:spPr>
            <a:xfrm xmlns:a="http://schemas.openxmlformats.org/drawingml/2006/main" rot="-5400000">
              <a:off x="709913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160</a:t>
              </a:r>
            </a:p>
          </cdr:txBody>
        </cdr:sp>
        <cdr:sp macro="" textlink="">
          <cdr:nvSpPr>
            <cdr:cNvPr id="6" name="TextBox 1"/>
            <cdr:cNvSpPr txBox="1"/>
          </cdr:nvSpPr>
          <cdr:spPr>
            <a:xfrm xmlns:a="http://schemas.openxmlformats.org/drawingml/2006/main" rot="-5400000">
              <a:off x="92198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200</a:t>
              </a:r>
            </a:p>
          </cdr:txBody>
        </cdr:sp>
        <cdr:sp macro="" textlink="">
          <cdr:nvSpPr>
            <cdr:cNvPr id="7" name="TextBox 1"/>
            <cdr:cNvSpPr txBox="1"/>
          </cdr:nvSpPr>
          <cdr:spPr>
            <a:xfrm xmlns:a="http://schemas.openxmlformats.org/drawingml/2006/main" rot="-5400000">
              <a:off x="114704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250</a:t>
              </a:r>
            </a:p>
          </cdr:txBody>
        </cdr:sp>
        <cdr:sp macro="" textlink="">
          <cdr:nvSpPr>
            <cdr:cNvPr id="8" name="TextBox 1"/>
            <cdr:cNvSpPr txBox="1"/>
          </cdr:nvSpPr>
          <cdr:spPr>
            <a:xfrm xmlns:a="http://schemas.openxmlformats.org/drawingml/2006/main" rot="-5400000">
              <a:off x="1372109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315</a:t>
              </a:r>
            </a:p>
          </cdr:txBody>
        </cdr:sp>
        <cdr:sp macro="" textlink="">
          <cdr:nvSpPr>
            <cdr:cNvPr id="9" name="TextBox 1"/>
            <cdr:cNvSpPr txBox="1"/>
          </cdr:nvSpPr>
          <cdr:spPr>
            <a:xfrm xmlns:a="http://schemas.openxmlformats.org/drawingml/2006/main" rot="-5400000">
              <a:off x="1597169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400</a:t>
              </a:r>
            </a:p>
          </cdr:txBody>
        </cdr:sp>
        <cdr:sp macro="" textlink="">
          <cdr:nvSpPr>
            <cdr:cNvPr id="10" name="TextBox 1"/>
            <cdr:cNvSpPr txBox="1"/>
          </cdr:nvSpPr>
          <cdr:spPr>
            <a:xfrm xmlns:a="http://schemas.openxmlformats.org/drawingml/2006/main" rot="-5400000">
              <a:off x="1800588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500</a:t>
              </a:r>
            </a:p>
          </cdr:txBody>
        </cdr:sp>
        <cdr:sp macro="" textlink="">
          <cdr:nvSpPr>
            <cdr:cNvPr id="11" name="TextBox 1"/>
            <cdr:cNvSpPr txBox="1"/>
          </cdr:nvSpPr>
          <cdr:spPr>
            <a:xfrm xmlns:a="http://schemas.openxmlformats.org/drawingml/2006/main" rot="-5400000">
              <a:off x="2025651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630</a:t>
              </a:r>
            </a:p>
          </cdr:txBody>
        </cdr:sp>
        <cdr:sp macro="" textlink="">
          <cdr:nvSpPr>
            <cdr:cNvPr id="12" name="TextBox 1"/>
            <cdr:cNvSpPr txBox="1"/>
          </cdr:nvSpPr>
          <cdr:spPr>
            <a:xfrm xmlns:a="http://schemas.openxmlformats.org/drawingml/2006/main" rot="-5400000">
              <a:off x="2237724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800</a:t>
              </a:r>
            </a:p>
          </cdr:txBody>
        </cdr:sp>
      </cdr:grpSp>
      <cdr:grpSp>
        <cdr:nvGrpSpPr>
          <cdr:cNvPr id="22" name="Group 21">
            <a:extLst xmlns:a="http://schemas.openxmlformats.org/drawingml/2006/main">
              <a:ext uri="{FF2B5EF4-FFF2-40B4-BE49-F238E27FC236}">
                <a16:creationId xmlns:a16="http://schemas.microsoft.com/office/drawing/2014/main" id="{5BB0661B-F3EA-4A9F-8B20-BB0F28FB0612}"/>
              </a:ext>
            </a:extLst>
          </cdr:cNvPr>
          <cdr:cNvGrpSpPr/>
        </cdr:nvGrpSpPr>
        <cdr:grpSpPr>
          <a:xfrm xmlns:a="http://schemas.openxmlformats.org/drawingml/2006/main">
            <a:off x="2540359" y="2726459"/>
            <a:ext cx="1286340" cy="364404"/>
            <a:chOff x="2543760" y="2726459"/>
            <a:chExt cx="1286341" cy="364404"/>
          </a:xfrm>
        </cdr:grpSpPr>
        <cdr:sp macro="" textlink="">
          <cdr:nvSpPr>
            <cdr:cNvPr id="13" name="TextBox 1"/>
            <cdr:cNvSpPr txBox="1"/>
          </cdr:nvSpPr>
          <cdr:spPr>
            <a:xfrm xmlns:a="http://schemas.openxmlformats.org/drawingml/2006/main" rot="-5400000">
              <a:off x="2462782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1000</a:t>
              </a:r>
            </a:p>
          </cdr:txBody>
        </cdr:sp>
        <cdr:sp macro="" textlink="">
          <cdr:nvSpPr>
            <cdr:cNvPr id="14" name="TextBox 1"/>
            <cdr:cNvSpPr txBox="1"/>
          </cdr:nvSpPr>
          <cdr:spPr>
            <a:xfrm xmlns:a="http://schemas.openxmlformats.org/drawingml/2006/main" rot="-5400000">
              <a:off x="2687841" y="2807437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1250</a:t>
              </a:r>
            </a:p>
          </cdr:txBody>
        </cdr:sp>
        <cdr:sp macro="" textlink="">
          <cdr:nvSpPr>
            <cdr:cNvPr id="15" name="TextBox 1"/>
            <cdr:cNvSpPr txBox="1"/>
          </cdr:nvSpPr>
          <cdr:spPr>
            <a:xfrm xmlns:a="http://schemas.openxmlformats.org/drawingml/2006/main" rot="-5400000">
              <a:off x="2904245" y="2809891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1600</a:t>
              </a:r>
            </a:p>
          </cdr:txBody>
        </cdr:sp>
        <cdr:sp macro="" textlink="">
          <cdr:nvSpPr>
            <cdr:cNvPr id="16" name="TextBox 1"/>
            <cdr:cNvSpPr txBox="1"/>
          </cdr:nvSpPr>
          <cdr:spPr>
            <a:xfrm xmlns:a="http://schemas.openxmlformats.org/drawingml/2006/main" rot="-5400000">
              <a:off x="3120650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2000</a:t>
              </a:r>
            </a:p>
          </cdr:txBody>
        </cdr:sp>
        <cdr:sp macro="" textlink="">
          <cdr:nvSpPr>
            <cdr:cNvPr id="17" name="TextBox 1"/>
            <cdr:cNvSpPr txBox="1"/>
          </cdr:nvSpPr>
          <cdr:spPr>
            <a:xfrm xmlns:a="http://schemas.openxmlformats.org/drawingml/2006/main" rot="-5400000">
              <a:off x="3350038" y="2809890"/>
              <a:ext cx="361950" cy="199995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2500</a:t>
              </a:r>
            </a:p>
          </cdr:txBody>
        </cdr:sp>
        <cdr:sp macro="" textlink="">
          <cdr:nvSpPr>
            <cdr:cNvPr id="18" name="TextBox 1"/>
            <cdr:cNvSpPr txBox="1"/>
          </cdr:nvSpPr>
          <cdr:spPr>
            <a:xfrm xmlns:a="http://schemas.openxmlformats.org/drawingml/2006/main" rot="-5400000">
              <a:off x="3549130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3150</a:t>
              </a:r>
            </a:p>
          </cdr:txBody>
        </cdr:sp>
      </cdr:grpSp>
    </cdr:grpSp>
  </cdr:relSizeAnchor>
  <cdr:relSizeAnchor xmlns:cdr="http://schemas.openxmlformats.org/drawingml/2006/chartDrawing">
    <cdr:from>
      <cdr:x>0.14415</cdr:x>
      <cdr:y>0.01427</cdr:y>
    </cdr:from>
    <cdr:to>
      <cdr:x>0.85409</cdr:x>
      <cdr:y>0.16532</cdr:y>
    </cdr:to>
    <cdr:sp macro="" textlink="">
      <cdr:nvSpPr>
        <cdr:cNvPr id="24" name="TextBox 23"/>
        <cdr:cNvSpPr txBox="1"/>
      </cdr:nvSpPr>
      <cdr:spPr>
        <a:xfrm xmlns:a="http://schemas.openxmlformats.org/drawingml/2006/main">
          <a:off x="637129" y="42729"/>
          <a:ext cx="3137958" cy="452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 rtl="0"/>
          <a:r>
            <a:rPr lang="it-IT" sz="1100" b="1" i="0" baseline="0">
              <a:effectLst/>
              <a:latin typeface="+mn-lt"/>
              <a:ea typeface="+mn-ea"/>
              <a:cs typeface="+mn-cs"/>
            </a:rPr>
            <a:t>Impact sound reference curve </a:t>
          </a:r>
          <a:br>
            <a:rPr lang="it-IT" sz="1100" b="1" i="0" baseline="0">
              <a:effectLst/>
              <a:latin typeface="+mn-lt"/>
              <a:ea typeface="+mn-ea"/>
              <a:cs typeface="+mn-cs"/>
            </a:rPr>
          </a:br>
          <a:r>
            <a:rPr lang="it-IT" sz="1100" b="1">
              <a:effectLst/>
              <a:latin typeface="+mn-lt"/>
              <a:ea typeface="+mn-ea"/>
              <a:cs typeface="+mn-cs"/>
            </a:rPr>
            <a:t>one-third-octave bands</a:t>
          </a:r>
          <a:endParaRPr lang="it-IT" sz="1000">
            <a:effectLst/>
          </a:endParaRPr>
        </a:p>
        <a:p xmlns:a="http://schemas.openxmlformats.org/drawingml/2006/main">
          <a:pPr algn="ctr" rtl="0"/>
          <a:endParaRPr lang="it-IT" sz="1000">
            <a:effectLst/>
          </a:endParaRPr>
        </a:p>
      </cdr:txBody>
    </cdr:sp>
  </cdr:relSizeAnchor>
  <cdr:relSizeAnchor xmlns:cdr="http://schemas.openxmlformats.org/drawingml/2006/chartDrawing">
    <cdr:from>
      <cdr:x>0.48434</cdr:x>
      <cdr:y>0.38287</cdr:y>
    </cdr:from>
    <cdr:to>
      <cdr:x>0.48439</cdr:x>
      <cdr:y>0.87435</cdr:y>
    </cdr:to>
    <cdr:cxnSp macro="">
      <cdr:nvCxnSpPr>
        <cdr:cNvPr id="19" name="Straight Arrow Connector 18">
          <a:extLst xmlns:a="http://schemas.openxmlformats.org/drawingml/2006/main">
            <a:ext uri="{FF2B5EF4-FFF2-40B4-BE49-F238E27FC236}">
              <a16:creationId xmlns:a16="http://schemas.microsoft.com/office/drawing/2014/main" id="{578C23A9-89DF-4848-8976-6B217E0345DB}"/>
            </a:ext>
          </a:extLst>
        </cdr:cNvPr>
        <cdr:cNvCxnSpPr/>
      </cdr:nvCxnSpPr>
      <cdr:spPr>
        <a:xfrm xmlns:a="http://schemas.openxmlformats.org/drawingml/2006/main" flipH="1" flipV="1">
          <a:off x="2058803" y="1194807"/>
          <a:ext cx="195" cy="1533761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0.02762</cdr:x>
      <cdr:y>0.09022</cdr:y>
    </cdr:from>
    <cdr:to>
      <cdr:x>0.12577</cdr:x>
      <cdr:y>0.1968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17605" y="287987"/>
          <a:ext cx="417933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it-IT" sz="1100"/>
            <a:t>[dB]</a:t>
          </a:r>
        </a:p>
      </cdr:txBody>
    </cdr:sp>
  </cdr:relSizeAnchor>
  <cdr:relSizeAnchor xmlns:cdr="http://schemas.openxmlformats.org/drawingml/2006/chartDrawing">
    <cdr:from>
      <cdr:x>0.07867</cdr:x>
      <cdr:y>0.85967</cdr:y>
    </cdr:from>
    <cdr:to>
      <cdr:x>0.93178</cdr:x>
      <cdr:y>1</cdr:y>
    </cdr:to>
    <cdr:grpSp>
      <cdr:nvGrpSpPr>
        <cdr:cNvPr id="27" name="Group 22">
          <a:extLst xmlns:a="http://schemas.openxmlformats.org/drawingml/2006/main">
            <a:ext uri="{FF2B5EF4-FFF2-40B4-BE49-F238E27FC236}">
              <a16:creationId xmlns:a16="http://schemas.microsoft.com/office/drawing/2014/main" id="{64291203-688D-40FD-B68D-41D97FDE90C8}"/>
            </a:ext>
          </a:extLst>
        </cdr:cNvPr>
        <cdr:cNvGrpSpPr/>
      </cdr:nvGrpSpPr>
      <cdr:grpSpPr>
        <a:xfrm xmlns:a="http://schemas.openxmlformats.org/drawingml/2006/main">
          <a:off x="346392" y="2651475"/>
          <a:ext cx="3756327" cy="432819"/>
          <a:chOff x="359626" y="2657116"/>
          <a:chExt cx="3467073" cy="433747"/>
        </a:xfrm>
      </cdr:grpSpPr>
      <cdr:grpSp>
        <cdr:nvGrpSpPr>
          <cdr:cNvPr id="28" name="Group 20">
            <a:extLst xmlns:a="http://schemas.openxmlformats.org/drawingml/2006/main">
              <a:ext uri="{FF2B5EF4-FFF2-40B4-BE49-F238E27FC236}">
                <a16:creationId xmlns:a16="http://schemas.microsoft.com/office/drawing/2014/main" id="{0CF631F0-5AF6-4045-AC46-79FAA4EE9557}"/>
              </a:ext>
            </a:extLst>
          </cdr:cNvPr>
          <cdr:cNvGrpSpPr/>
        </cdr:nvGrpSpPr>
        <cdr:grpSpPr>
          <a:xfrm xmlns:a="http://schemas.openxmlformats.org/drawingml/2006/main">
            <a:off x="359626" y="2657116"/>
            <a:ext cx="2165872" cy="361950"/>
            <a:chOff x="352823" y="2653715"/>
            <a:chExt cx="2165873" cy="361950"/>
          </a:xfrm>
        </cdr:grpSpPr>
        <cdr:sp macro="" textlink="">
          <cdr:nvSpPr>
            <cdr:cNvPr id="29" name="TextBox 1"/>
            <cdr:cNvSpPr txBox="1"/>
          </cdr:nvSpPr>
          <cdr:spPr>
            <a:xfrm xmlns:a="http://schemas.openxmlformats.org/drawingml/2006/main" rot="-5400000">
              <a:off x="271845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none" rtlCol="0"/>
            <a:lstStyle xmlns:a="http://schemas.openxmlformats.org/drawingml/2006/main"/>
            <a:p xmlns:a="http://schemas.openxmlformats.org/drawingml/2006/main">
              <a:r>
                <a:rPr lang="it-IT" sz="1000" baseline="0"/>
                <a:t>100</a:t>
              </a:r>
            </a:p>
          </cdr:txBody>
        </cdr:sp>
        <cdr:sp macro="" textlink="">
          <cdr:nvSpPr>
            <cdr:cNvPr id="30" name="TextBox 1"/>
            <cdr:cNvSpPr txBox="1"/>
          </cdr:nvSpPr>
          <cdr:spPr>
            <a:xfrm xmlns:a="http://schemas.openxmlformats.org/drawingml/2006/main" rot="-5400000">
              <a:off x="49783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125	</a:t>
              </a:r>
            </a:p>
          </cdr:txBody>
        </cdr:sp>
        <cdr:sp macro="" textlink="">
          <cdr:nvSpPr>
            <cdr:cNvPr id="31" name="TextBox 1"/>
            <cdr:cNvSpPr txBox="1"/>
          </cdr:nvSpPr>
          <cdr:spPr>
            <a:xfrm xmlns:a="http://schemas.openxmlformats.org/drawingml/2006/main" rot="-5400000">
              <a:off x="709913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160</a:t>
              </a:r>
            </a:p>
          </cdr:txBody>
        </cdr:sp>
        <cdr:sp macro="" textlink="">
          <cdr:nvSpPr>
            <cdr:cNvPr id="32" name="TextBox 1"/>
            <cdr:cNvSpPr txBox="1"/>
          </cdr:nvSpPr>
          <cdr:spPr>
            <a:xfrm xmlns:a="http://schemas.openxmlformats.org/drawingml/2006/main" rot="-5400000">
              <a:off x="92198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200</a:t>
              </a:r>
            </a:p>
          </cdr:txBody>
        </cdr:sp>
        <cdr:sp macro="" textlink="">
          <cdr:nvSpPr>
            <cdr:cNvPr id="33" name="TextBox 1"/>
            <cdr:cNvSpPr txBox="1"/>
          </cdr:nvSpPr>
          <cdr:spPr>
            <a:xfrm xmlns:a="http://schemas.openxmlformats.org/drawingml/2006/main" rot="-5400000">
              <a:off x="114704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250</a:t>
              </a:r>
            </a:p>
          </cdr:txBody>
        </cdr:sp>
        <cdr:sp macro="" textlink="">
          <cdr:nvSpPr>
            <cdr:cNvPr id="34" name="TextBox 1"/>
            <cdr:cNvSpPr txBox="1"/>
          </cdr:nvSpPr>
          <cdr:spPr>
            <a:xfrm xmlns:a="http://schemas.openxmlformats.org/drawingml/2006/main" rot="-5400000">
              <a:off x="1372109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315</a:t>
              </a:r>
            </a:p>
          </cdr:txBody>
        </cdr:sp>
        <cdr:sp macro="" textlink="">
          <cdr:nvSpPr>
            <cdr:cNvPr id="35" name="TextBox 1"/>
            <cdr:cNvSpPr txBox="1"/>
          </cdr:nvSpPr>
          <cdr:spPr>
            <a:xfrm xmlns:a="http://schemas.openxmlformats.org/drawingml/2006/main" rot="-5400000">
              <a:off x="1597169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400</a:t>
              </a:r>
            </a:p>
          </cdr:txBody>
        </cdr:sp>
        <cdr:sp macro="" textlink="">
          <cdr:nvSpPr>
            <cdr:cNvPr id="36" name="TextBox 1"/>
            <cdr:cNvSpPr txBox="1"/>
          </cdr:nvSpPr>
          <cdr:spPr>
            <a:xfrm xmlns:a="http://schemas.openxmlformats.org/drawingml/2006/main" rot="-5400000">
              <a:off x="1800588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500</a:t>
              </a:r>
            </a:p>
          </cdr:txBody>
        </cdr:sp>
        <cdr:sp macro="" textlink="">
          <cdr:nvSpPr>
            <cdr:cNvPr id="37" name="TextBox 1"/>
            <cdr:cNvSpPr txBox="1"/>
          </cdr:nvSpPr>
          <cdr:spPr>
            <a:xfrm xmlns:a="http://schemas.openxmlformats.org/drawingml/2006/main" rot="-5400000">
              <a:off x="2025651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630</a:t>
              </a:r>
            </a:p>
          </cdr:txBody>
        </cdr:sp>
        <cdr:sp macro="" textlink="">
          <cdr:nvSpPr>
            <cdr:cNvPr id="38" name="TextBox 1"/>
            <cdr:cNvSpPr txBox="1"/>
          </cdr:nvSpPr>
          <cdr:spPr>
            <a:xfrm xmlns:a="http://schemas.openxmlformats.org/drawingml/2006/main" rot="-5400000">
              <a:off x="2237724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800</a:t>
              </a:r>
            </a:p>
          </cdr:txBody>
        </cdr:sp>
      </cdr:grpSp>
      <cdr:grpSp>
        <cdr:nvGrpSpPr>
          <cdr:cNvPr id="39" name="Group 21">
            <a:extLst xmlns:a="http://schemas.openxmlformats.org/drawingml/2006/main">
              <a:ext uri="{FF2B5EF4-FFF2-40B4-BE49-F238E27FC236}">
                <a16:creationId xmlns:a16="http://schemas.microsoft.com/office/drawing/2014/main" id="{532CBB66-37E6-4AEE-94F8-43864F5C639C}"/>
              </a:ext>
            </a:extLst>
          </cdr:cNvPr>
          <cdr:cNvGrpSpPr/>
        </cdr:nvGrpSpPr>
        <cdr:grpSpPr>
          <a:xfrm xmlns:a="http://schemas.openxmlformats.org/drawingml/2006/main">
            <a:off x="2540359" y="2726459"/>
            <a:ext cx="1286340" cy="364404"/>
            <a:chOff x="2543760" y="2726459"/>
            <a:chExt cx="1286341" cy="364404"/>
          </a:xfrm>
        </cdr:grpSpPr>
        <cdr:sp macro="" textlink="">
          <cdr:nvSpPr>
            <cdr:cNvPr id="40" name="TextBox 1"/>
            <cdr:cNvSpPr txBox="1"/>
          </cdr:nvSpPr>
          <cdr:spPr>
            <a:xfrm xmlns:a="http://schemas.openxmlformats.org/drawingml/2006/main" rot="-5400000">
              <a:off x="2462782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1000</a:t>
              </a:r>
            </a:p>
          </cdr:txBody>
        </cdr:sp>
        <cdr:sp macro="" textlink="">
          <cdr:nvSpPr>
            <cdr:cNvPr id="41" name="TextBox 1"/>
            <cdr:cNvSpPr txBox="1"/>
          </cdr:nvSpPr>
          <cdr:spPr>
            <a:xfrm xmlns:a="http://schemas.openxmlformats.org/drawingml/2006/main" rot="-5400000">
              <a:off x="2687841" y="2807437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1250</a:t>
              </a:r>
            </a:p>
          </cdr:txBody>
        </cdr:sp>
        <cdr:sp macro="" textlink="">
          <cdr:nvSpPr>
            <cdr:cNvPr id="42" name="TextBox 1"/>
            <cdr:cNvSpPr txBox="1"/>
          </cdr:nvSpPr>
          <cdr:spPr>
            <a:xfrm xmlns:a="http://schemas.openxmlformats.org/drawingml/2006/main" rot="-5400000">
              <a:off x="2904245" y="2809891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1600</a:t>
              </a:r>
            </a:p>
          </cdr:txBody>
        </cdr:sp>
        <cdr:sp macro="" textlink="">
          <cdr:nvSpPr>
            <cdr:cNvPr id="43" name="TextBox 1"/>
            <cdr:cNvSpPr txBox="1"/>
          </cdr:nvSpPr>
          <cdr:spPr>
            <a:xfrm xmlns:a="http://schemas.openxmlformats.org/drawingml/2006/main" rot="-5400000">
              <a:off x="3120650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2000</a:t>
              </a:r>
            </a:p>
          </cdr:txBody>
        </cdr:sp>
        <cdr:sp macro="" textlink="">
          <cdr:nvSpPr>
            <cdr:cNvPr id="44" name="TextBox 1"/>
            <cdr:cNvSpPr txBox="1"/>
          </cdr:nvSpPr>
          <cdr:spPr>
            <a:xfrm xmlns:a="http://schemas.openxmlformats.org/drawingml/2006/main" rot="-5400000">
              <a:off x="3350038" y="2809890"/>
              <a:ext cx="361950" cy="199995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2500</a:t>
              </a:r>
            </a:p>
          </cdr:txBody>
        </cdr:sp>
        <cdr:sp macro="" textlink="">
          <cdr:nvSpPr>
            <cdr:cNvPr id="45" name="TextBox 1"/>
            <cdr:cNvSpPr txBox="1"/>
          </cdr:nvSpPr>
          <cdr:spPr>
            <a:xfrm xmlns:a="http://schemas.openxmlformats.org/drawingml/2006/main" rot="-5400000">
              <a:off x="3549130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3150</a:t>
              </a:r>
            </a:p>
          </cdr:txBody>
        </cdr:sp>
      </cdr:grpSp>
    </cdr:grpSp>
  </cdr:relSizeAnchor>
  <cdr:relSizeAnchor xmlns:cdr="http://schemas.openxmlformats.org/drawingml/2006/chartDrawing">
    <cdr:from>
      <cdr:x>0.10374</cdr:x>
      <cdr:y>0.01427</cdr:y>
    </cdr:from>
    <cdr:to>
      <cdr:x>0.91531</cdr:x>
      <cdr:y>0.16532</cdr:y>
    </cdr:to>
    <cdr:sp macro="" textlink="">
      <cdr:nvSpPr>
        <cdr:cNvPr id="46" name="TextBox 23"/>
        <cdr:cNvSpPr txBox="1"/>
      </cdr:nvSpPr>
      <cdr:spPr>
        <a:xfrm xmlns:a="http://schemas.openxmlformats.org/drawingml/2006/main">
          <a:off x="428624" y="45003"/>
          <a:ext cx="3353189" cy="4762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 rtl="0"/>
          <a:endParaRPr lang="it-IT" sz="1000">
            <a:effectLst/>
          </a:endParaRPr>
        </a:p>
      </cdr:txBody>
    </cdr:sp>
  </cdr:relSizeAnchor>
  <cdr:relSizeAnchor xmlns:cdr="http://schemas.openxmlformats.org/drawingml/2006/chartDrawing">
    <cdr:from>
      <cdr:x>0.10095</cdr:x>
      <cdr:y>0.38018</cdr:y>
    </cdr:from>
    <cdr:to>
      <cdr:x>0.48214</cdr:x>
      <cdr:y>0.38018</cdr:y>
    </cdr:to>
    <cdr:cxnSp macro="">
      <cdr:nvCxnSpPr>
        <cdr:cNvPr id="48" name="Straight Arrow Connector 24">
          <a:extLst xmlns:a="http://schemas.openxmlformats.org/drawingml/2006/main">
            <a:ext uri="{FF2B5EF4-FFF2-40B4-BE49-F238E27FC236}">
              <a16:creationId xmlns:a16="http://schemas.microsoft.com/office/drawing/2014/main" id="{F5127E58-DA75-4947-B57C-2A555F27A8A8}"/>
            </a:ext>
          </a:extLst>
        </cdr:cNvPr>
        <cdr:cNvCxnSpPr/>
      </cdr:nvCxnSpPr>
      <cdr:spPr>
        <a:xfrm xmlns:a="http://schemas.openxmlformats.org/drawingml/2006/main" flipH="1">
          <a:off x="430747" y="1144283"/>
          <a:ext cx="1626584" cy="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0.02762</cdr:x>
      <cdr:y>0.09022</cdr:y>
    </cdr:from>
    <cdr:to>
      <cdr:x>0.12577</cdr:x>
      <cdr:y>0.1968</cdr:y>
    </cdr:to>
    <cdr:sp macro="" textlink="">
      <cdr:nvSpPr>
        <cdr:cNvPr id="49" name="TextBox 2"/>
        <cdr:cNvSpPr txBox="1"/>
      </cdr:nvSpPr>
      <cdr:spPr>
        <a:xfrm xmlns:a="http://schemas.openxmlformats.org/drawingml/2006/main">
          <a:off x="117605" y="287987"/>
          <a:ext cx="417933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it-IT" sz="1100"/>
            <a:t>[dB]</a:t>
          </a:r>
        </a:p>
      </cdr:txBody>
    </cdr:sp>
  </cdr:relSizeAnchor>
  <cdr:relSizeAnchor xmlns:cdr="http://schemas.openxmlformats.org/drawingml/2006/chartDrawing">
    <cdr:from>
      <cdr:x>0.01999</cdr:x>
      <cdr:y>0.30807</cdr:y>
    </cdr:from>
    <cdr:to>
      <cdr:x>0.10901</cdr:x>
      <cdr:y>0.39028</cdr:y>
    </cdr:to>
    <cdr:sp macro="" textlink="">
      <cdr:nvSpPr>
        <cdr:cNvPr id="50" name="TextBox 25"/>
        <cdr:cNvSpPr txBox="1"/>
      </cdr:nvSpPr>
      <cdr:spPr>
        <a:xfrm xmlns:a="http://schemas.openxmlformats.org/drawingml/2006/main">
          <a:off x="84957" y="961400"/>
          <a:ext cx="378397" cy="2565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it-IT" sz="1100">
              <a:solidFill>
                <a:srgbClr val="FF0000"/>
              </a:solidFill>
            </a:rPr>
            <a:t>50.0</a:t>
          </a:r>
        </a:p>
      </cdr:txBody>
    </cdr:sp>
  </cdr:relSizeAnchor>
  <cdr:relSizeAnchor xmlns:cdr="http://schemas.openxmlformats.org/drawingml/2006/chartDrawing">
    <cdr:from>
      <cdr:x>0.90513</cdr:x>
      <cdr:y>0.84623</cdr:y>
    </cdr:from>
    <cdr:to>
      <cdr:x>1</cdr:x>
      <cdr:y>0.99134</cdr:y>
    </cdr:to>
    <cdr:sp macro="" textlink="">
      <cdr:nvSpPr>
        <cdr:cNvPr id="51" name="TextBox 2"/>
        <cdr:cNvSpPr txBox="1"/>
      </cdr:nvSpPr>
      <cdr:spPr>
        <a:xfrm xmlns:a="http://schemas.openxmlformats.org/drawingml/2006/main">
          <a:off x="3847447" y="2578141"/>
          <a:ext cx="403251" cy="442126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it-IT" sz="1100" baseline="0"/>
            <a:t>  f </a:t>
          </a:r>
          <a:br>
            <a:rPr lang="it-IT" sz="1100" baseline="0"/>
          </a:br>
          <a:r>
            <a:rPr lang="it-IT" sz="1000" baseline="0"/>
            <a:t>[Hz]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0.07867</cdr:x>
      <cdr:y>0.85967</cdr:y>
    </cdr:from>
    <cdr:to>
      <cdr:x>0.93178</cdr:x>
      <cdr:y>1</cdr:y>
    </cdr:to>
    <cdr:grpSp>
      <cdr:nvGrpSpPr>
        <cdr:cNvPr id="23" name="Group 22">
          <a:extLst xmlns:a="http://schemas.openxmlformats.org/drawingml/2006/main">
            <a:ext uri="{FF2B5EF4-FFF2-40B4-BE49-F238E27FC236}">
              <a16:creationId xmlns:a16="http://schemas.microsoft.com/office/drawing/2014/main" id="{9CB82240-C262-4083-B559-E7A26225CE7A}"/>
            </a:ext>
          </a:extLst>
        </cdr:cNvPr>
        <cdr:cNvGrpSpPr/>
      </cdr:nvGrpSpPr>
      <cdr:grpSpPr>
        <a:xfrm xmlns:a="http://schemas.openxmlformats.org/drawingml/2006/main">
          <a:off x="346926" y="2647710"/>
          <a:ext cx="3762118" cy="432204"/>
          <a:chOff x="359626" y="2657116"/>
          <a:chExt cx="3467073" cy="433747"/>
        </a:xfrm>
      </cdr:grpSpPr>
      <cdr:grpSp>
        <cdr:nvGrpSpPr>
          <cdr:cNvPr id="21" name="Group 20">
            <a:extLst xmlns:a="http://schemas.openxmlformats.org/drawingml/2006/main">
              <a:ext uri="{FF2B5EF4-FFF2-40B4-BE49-F238E27FC236}">
                <a16:creationId xmlns:a16="http://schemas.microsoft.com/office/drawing/2014/main" id="{9B406718-94DC-4FEE-B694-B3359E6DA601}"/>
              </a:ext>
            </a:extLst>
          </cdr:cNvPr>
          <cdr:cNvGrpSpPr/>
        </cdr:nvGrpSpPr>
        <cdr:grpSpPr>
          <a:xfrm xmlns:a="http://schemas.openxmlformats.org/drawingml/2006/main">
            <a:off x="359626" y="2657116"/>
            <a:ext cx="2165872" cy="361950"/>
            <a:chOff x="352823" y="2653715"/>
            <a:chExt cx="2165873" cy="361950"/>
          </a:xfrm>
        </cdr:grpSpPr>
        <cdr:sp macro="" textlink="">
          <cdr:nvSpPr>
            <cdr:cNvPr id="2" name="TextBox 1"/>
            <cdr:cNvSpPr txBox="1"/>
          </cdr:nvSpPr>
          <cdr:spPr>
            <a:xfrm xmlns:a="http://schemas.openxmlformats.org/drawingml/2006/main" rot="-5400000">
              <a:off x="271845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wrap="none" rtlCol="0"/>
            <a:lstStyle xmlns:a="http://schemas.openxmlformats.org/drawingml/2006/main"/>
            <a:p xmlns:a="http://schemas.openxmlformats.org/drawingml/2006/main">
              <a:r>
                <a:rPr lang="it-IT" sz="1000" baseline="0"/>
                <a:t>100</a:t>
              </a:r>
            </a:p>
          </cdr:txBody>
        </cdr:sp>
        <cdr:sp macro="" textlink="">
          <cdr:nvSpPr>
            <cdr:cNvPr id="4" name="TextBox 1"/>
            <cdr:cNvSpPr txBox="1"/>
          </cdr:nvSpPr>
          <cdr:spPr>
            <a:xfrm xmlns:a="http://schemas.openxmlformats.org/drawingml/2006/main" rot="-5400000">
              <a:off x="49783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125	</a:t>
              </a:r>
            </a:p>
          </cdr:txBody>
        </cdr:sp>
        <cdr:sp macro="" textlink="">
          <cdr:nvSpPr>
            <cdr:cNvPr id="5" name="TextBox 1"/>
            <cdr:cNvSpPr txBox="1"/>
          </cdr:nvSpPr>
          <cdr:spPr>
            <a:xfrm xmlns:a="http://schemas.openxmlformats.org/drawingml/2006/main" rot="-5400000">
              <a:off x="709913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160</a:t>
              </a:r>
            </a:p>
          </cdr:txBody>
        </cdr:sp>
        <cdr:sp macro="" textlink="">
          <cdr:nvSpPr>
            <cdr:cNvPr id="6" name="TextBox 1"/>
            <cdr:cNvSpPr txBox="1"/>
          </cdr:nvSpPr>
          <cdr:spPr>
            <a:xfrm xmlns:a="http://schemas.openxmlformats.org/drawingml/2006/main" rot="-5400000">
              <a:off x="92198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200</a:t>
              </a:r>
            </a:p>
          </cdr:txBody>
        </cdr:sp>
        <cdr:sp macro="" textlink="">
          <cdr:nvSpPr>
            <cdr:cNvPr id="7" name="TextBox 1"/>
            <cdr:cNvSpPr txBox="1"/>
          </cdr:nvSpPr>
          <cdr:spPr>
            <a:xfrm xmlns:a="http://schemas.openxmlformats.org/drawingml/2006/main" rot="-5400000">
              <a:off x="1147047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250</a:t>
              </a:r>
            </a:p>
          </cdr:txBody>
        </cdr:sp>
        <cdr:sp macro="" textlink="">
          <cdr:nvSpPr>
            <cdr:cNvPr id="8" name="TextBox 1"/>
            <cdr:cNvSpPr txBox="1"/>
          </cdr:nvSpPr>
          <cdr:spPr>
            <a:xfrm xmlns:a="http://schemas.openxmlformats.org/drawingml/2006/main" rot="-5400000">
              <a:off x="1372109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315</a:t>
              </a:r>
            </a:p>
          </cdr:txBody>
        </cdr:sp>
        <cdr:sp macro="" textlink="">
          <cdr:nvSpPr>
            <cdr:cNvPr id="9" name="TextBox 1"/>
            <cdr:cNvSpPr txBox="1"/>
          </cdr:nvSpPr>
          <cdr:spPr>
            <a:xfrm xmlns:a="http://schemas.openxmlformats.org/drawingml/2006/main" rot="-5400000">
              <a:off x="1597169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400</a:t>
              </a:r>
            </a:p>
          </cdr:txBody>
        </cdr:sp>
        <cdr:sp macro="" textlink="">
          <cdr:nvSpPr>
            <cdr:cNvPr id="10" name="TextBox 1"/>
            <cdr:cNvSpPr txBox="1"/>
          </cdr:nvSpPr>
          <cdr:spPr>
            <a:xfrm xmlns:a="http://schemas.openxmlformats.org/drawingml/2006/main" rot="-5400000">
              <a:off x="1800588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500</a:t>
              </a:r>
            </a:p>
          </cdr:txBody>
        </cdr:sp>
        <cdr:sp macro="" textlink="">
          <cdr:nvSpPr>
            <cdr:cNvPr id="11" name="TextBox 1"/>
            <cdr:cNvSpPr txBox="1"/>
          </cdr:nvSpPr>
          <cdr:spPr>
            <a:xfrm xmlns:a="http://schemas.openxmlformats.org/drawingml/2006/main" rot="-5400000">
              <a:off x="2025651" y="2734693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630</a:t>
              </a:r>
            </a:p>
          </cdr:txBody>
        </cdr:sp>
        <cdr:sp macro="" textlink="">
          <cdr:nvSpPr>
            <cdr:cNvPr id="12" name="TextBox 1"/>
            <cdr:cNvSpPr txBox="1"/>
          </cdr:nvSpPr>
          <cdr:spPr>
            <a:xfrm xmlns:a="http://schemas.openxmlformats.org/drawingml/2006/main" rot="-5400000">
              <a:off x="2237724" y="2734693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800</a:t>
              </a:r>
            </a:p>
          </cdr:txBody>
        </cdr:sp>
      </cdr:grpSp>
      <cdr:grpSp>
        <cdr:nvGrpSpPr>
          <cdr:cNvPr id="22" name="Group 21">
            <a:extLst xmlns:a="http://schemas.openxmlformats.org/drawingml/2006/main">
              <a:ext uri="{FF2B5EF4-FFF2-40B4-BE49-F238E27FC236}">
                <a16:creationId xmlns:a16="http://schemas.microsoft.com/office/drawing/2014/main" id="{4DB2B875-7AD5-4515-84CC-C322CBC49566}"/>
              </a:ext>
            </a:extLst>
          </cdr:cNvPr>
          <cdr:cNvGrpSpPr/>
        </cdr:nvGrpSpPr>
        <cdr:grpSpPr>
          <a:xfrm xmlns:a="http://schemas.openxmlformats.org/drawingml/2006/main">
            <a:off x="2540359" y="2726459"/>
            <a:ext cx="1286340" cy="364404"/>
            <a:chOff x="2543760" y="2726459"/>
            <a:chExt cx="1286341" cy="364404"/>
          </a:xfrm>
        </cdr:grpSpPr>
        <cdr:sp macro="" textlink="">
          <cdr:nvSpPr>
            <cdr:cNvPr id="13" name="TextBox 1"/>
            <cdr:cNvSpPr txBox="1"/>
          </cdr:nvSpPr>
          <cdr:spPr>
            <a:xfrm xmlns:a="http://schemas.openxmlformats.org/drawingml/2006/main" rot="-5400000">
              <a:off x="2462782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1000</a:t>
              </a:r>
            </a:p>
          </cdr:txBody>
        </cdr:sp>
        <cdr:sp macro="" textlink="">
          <cdr:nvSpPr>
            <cdr:cNvPr id="14" name="TextBox 1"/>
            <cdr:cNvSpPr txBox="1"/>
          </cdr:nvSpPr>
          <cdr:spPr>
            <a:xfrm xmlns:a="http://schemas.openxmlformats.org/drawingml/2006/main" rot="-5400000">
              <a:off x="2687841" y="2807437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1250</a:t>
              </a:r>
            </a:p>
          </cdr:txBody>
        </cdr:sp>
        <cdr:sp macro="" textlink="">
          <cdr:nvSpPr>
            <cdr:cNvPr id="15" name="TextBox 1"/>
            <cdr:cNvSpPr txBox="1"/>
          </cdr:nvSpPr>
          <cdr:spPr>
            <a:xfrm xmlns:a="http://schemas.openxmlformats.org/drawingml/2006/main" rot="-5400000">
              <a:off x="2904245" y="2809891"/>
              <a:ext cx="361950" cy="19999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1600</a:t>
              </a:r>
            </a:p>
          </cdr:txBody>
        </cdr:sp>
        <cdr:sp macro="" textlink="">
          <cdr:nvSpPr>
            <cdr:cNvPr id="16" name="TextBox 1"/>
            <cdr:cNvSpPr txBox="1"/>
          </cdr:nvSpPr>
          <cdr:spPr>
            <a:xfrm xmlns:a="http://schemas.openxmlformats.org/drawingml/2006/main" rot="-5400000">
              <a:off x="3120650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2000</a:t>
              </a:r>
            </a:p>
          </cdr:txBody>
        </cdr:sp>
        <cdr:sp macro="" textlink="">
          <cdr:nvSpPr>
            <cdr:cNvPr id="17" name="TextBox 1"/>
            <cdr:cNvSpPr txBox="1"/>
          </cdr:nvSpPr>
          <cdr:spPr>
            <a:xfrm xmlns:a="http://schemas.openxmlformats.org/drawingml/2006/main" rot="-5400000">
              <a:off x="3350038" y="2809890"/>
              <a:ext cx="361950" cy="199995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2500</a:t>
              </a:r>
            </a:p>
          </cdr:txBody>
        </cdr:sp>
        <cdr:sp macro="" textlink="">
          <cdr:nvSpPr>
            <cdr:cNvPr id="18" name="TextBox 1"/>
            <cdr:cNvSpPr txBox="1"/>
          </cdr:nvSpPr>
          <cdr:spPr>
            <a:xfrm xmlns:a="http://schemas.openxmlformats.org/drawingml/2006/main" rot="-5400000">
              <a:off x="3549130" y="2809891"/>
              <a:ext cx="361950" cy="19999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it-IT" sz="1000" baseline="0"/>
                <a:t>3150</a:t>
              </a:r>
            </a:p>
          </cdr:txBody>
        </cdr:sp>
      </cdr:grpSp>
    </cdr:grpSp>
  </cdr:relSizeAnchor>
  <cdr:relSizeAnchor xmlns:cdr="http://schemas.openxmlformats.org/drawingml/2006/chartDrawing">
    <cdr:from>
      <cdr:x>0.10374</cdr:x>
      <cdr:y>0.01427</cdr:y>
    </cdr:from>
    <cdr:to>
      <cdr:x>0.91531</cdr:x>
      <cdr:y>0.16532</cdr:y>
    </cdr:to>
    <cdr:sp macro="" textlink="">
      <cdr:nvSpPr>
        <cdr:cNvPr id="24" name="TextBox 23"/>
        <cdr:cNvSpPr txBox="1"/>
      </cdr:nvSpPr>
      <cdr:spPr>
        <a:xfrm xmlns:a="http://schemas.openxmlformats.org/drawingml/2006/main">
          <a:off x="428624" y="45003"/>
          <a:ext cx="3353189" cy="4762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 rtl="0"/>
          <a:r>
            <a:rPr lang="it-IT" sz="1100" b="1" i="0" baseline="0">
              <a:effectLst/>
              <a:latin typeface="+mn-lt"/>
              <a:ea typeface="+mn-ea"/>
              <a:cs typeface="+mn-cs"/>
            </a:rPr>
            <a:t>Impact sound reference curve</a:t>
          </a:r>
          <a:endParaRPr lang="it-IT">
            <a:effectLst/>
          </a:endParaRPr>
        </a:p>
        <a:p xmlns:a="http://schemas.openxmlformats.org/drawingml/2006/main">
          <a:pPr algn="ctr" rtl="0"/>
          <a:r>
            <a:rPr lang="it-IT" sz="1100" b="1">
              <a:effectLst/>
            </a:rPr>
            <a:t>one-third-octave bands</a:t>
          </a:r>
        </a:p>
      </cdr:txBody>
    </cdr:sp>
  </cdr:relSizeAnchor>
  <cdr:relSizeAnchor xmlns:cdr="http://schemas.openxmlformats.org/drawingml/2006/chartDrawing">
    <cdr:from>
      <cdr:x>0.48185</cdr:x>
      <cdr:y>0.38863</cdr:y>
    </cdr:from>
    <cdr:to>
      <cdr:x>0.48439</cdr:x>
      <cdr:y>0.87435</cdr:y>
    </cdr:to>
    <cdr:cxnSp macro="">
      <cdr:nvCxnSpPr>
        <cdr:cNvPr id="19" name="Straight Arrow Connector 18">
          <a:extLst xmlns:a="http://schemas.openxmlformats.org/drawingml/2006/main">
            <a:ext uri="{FF2B5EF4-FFF2-40B4-BE49-F238E27FC236}">
              <a16:creationId xmlns:a16="http://schemas.microsoft.com/office/drawing/2014/main" id="{3C86AB9C-6AE1-44A0-91BD-1EA0513C77CF}"/>
            </a:ext>
          </a:extLst>
        </cdr:cNvPr>
        <cdr:cNvCxnSpPr/>
      </cdr:nvCxnSpPr>
      <cdr:spPr>
        <a:xfrm xmlns:a="http://schemas.openxmlformats.org/drawingml/2006/main" flipH="1" flipV="1">
          <a:off x="2051763" y="1240488"/>
          <a:ext cx="10801" cy="155038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0.09838</cdr:x>
      <cdr:y>0.39473</cdr:y>
    </cdr:from>
    <cdr:to>
      <cdr:x>0.47957</cdr:x>
      <cdr:y>0.39473</cdr:y>
    </cdr:to>
    <cdr:cxnSp macro="">
      <cdr:nvCxnSpPr>
        <cdr:cNvPr id="25" name="Straight Arrow Connector 24">
          <a:extLst xmlns:a="http://schemas.openxmlformats.org/drawingml/2006/main">
            <a:ext uri="{FF2B5EF4-FFF2-40B4-BE49-F238E27FC236}">
              <a16:creationId xmlns:a16="http://schemas.microsoft.com/office/drawing/2014/main" id="{010AF40C-8A4A-424E-B4DB-D2969422DA8C}"/>
            </a:ext>
          </a:extLst>
        </cdr:cNvPr>
        <cdr:cNvCxnSpPr/>
      </cdr:nvCxnSpPr>
      <cdr:spPr>
        <a:xfrm xmlns:a="http://schemas.openxmlformats.org/drawingml/2006/main" flipH="1">
          <a:off x="418908" y="1259943"/>
          <a:ext cx="1623131" cy="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0.02762</cdr:x>
      <cdr:y>0.09022</cdr:y>
    </cdr:from>
    <cdr:to>
      <cdr:x>0.12577</cdr:x>
      <cdr:y>0.1968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17605" y="287987"/>
          <a:ext cx="417933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it-IT" sz="1100"/>
            <a:t>[dB]</a:t>
          </a:r>
        </a:p>
      </cdr:txBody>
    </cdr:sp>
  </cdr:relSizeAnchor>
  <cdr:relSizeAnchor xmlns:cdr="http://schemas.openxmlformats.org/drawingml/2006/chartDrawing">
    <cdr:from>
      <cdr:x>0.01621</cdr:x>
      <cdr:y>0.36123</cdr:y>
    </cdr:from>
    <cdr:to>
      <cdr:x>0.10523</cdr:x>
      <cdr:y>0.44344</cdr:y>
    </cdr:to>
    <cdr:sp macro="" textlink="">
      <cdr:nvSpPr>
        <cdr:cNvPr id="26" name="TextBox 25"/>
        <cdr:cNvSpPr txBox="1"/>
      </cdr:nvSpPr>
      <cdr:spPr>
        <a:xfrm xmlns:a="http://schemas.openxmlformats.org/drawingml/2006/main">
          <a:off x="69008" y="1153013"/>
          <a:ext cx="379056" cy="2624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it-IT" sz="1100">
              <a:solidFill>
                <a:srgbClr val="FF0000"/>
              </a:solidFill>
            </a:rPr>
            <a:t>58.0</a:t>
          </a:r>
        </a:p>
      </cdr:txBody>
    </cdr:sp>
  </cdr:relSizeAnchor>
  <cdr:relSizeAnchor xmlns:cdr="http://schemas.openxmlformats.org/drawingml/2006/chartDrawing">
    <cdr:from>
      <cdr:x>0.90752</cdr:x>
      <cdr:y>0.84259</cdr:y>
    </cdr:from>
    <cdr:to>
      <cdr:x>1</cdr:x>
      <cdr:y>0.98771</cdr:y>
    </cdr:to>
    <cdr:sp macro="" textlink="">
      <cdr:nvSpPr>
        <cdr:cNvPr id="27" name="TextBox 2"/>
        <cdr:cNvSpPr txBox="1"/>
      </cdr:nvSpPr>
      <cdr:spPr>
        <a:xfrm xmlns:a="http://schemas.openxmlformats.org/drawingml/2006/main">
          <a:off x="3855128" y="2565236"/>
          <a:ext cx="392833" cy="44181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it-IT" sz="1100" baseline="0"/>
            <a:t>  f </a:t>
          </a:r>
          <a:br>
            <a:rPr lang="it-IT" sz="1100" baseline="0"/>
          </a:br>
          <a:r>
            <a:rPr lang="it-IT" sz="1000" baseline="0"/>
            <a:t>[Hz]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8"/>
  <sheetViews>
    <sheetView tabSelected="1" zoomScaleNormal="100" workbookViewId="0">
      <selection activeCell="J26" sqref="J26"/>
    </sheetView>
  </sheetViews>
  <sheetFormatPr defaultRowHeight="15" x14ac:dyDescent="0.25"/>
  <cols>
    <col min="2" max="2" width="10" customWidth="1"/>
    <col min="3" max="3" width="10.42578125" customWidth="1"/>
    <col min="4" max="4" width="10.28515625" customWidth="1"/>
    <col min="5" max="5" width="10.7109375" customWidth="1"/>
    <col min="6" max="6" width="8" customWidth="1"/>
    <col min="7" max="7" width="10.140625" customWidth="1"/>
    <col min="8" max="8" width="11.5703125" customWidth="1"/>
    <col min="11" max="11" width="9.42578125" customWidth="1"/>
    <col min="12" max="12" width="11.42578125" customWidth="1"/>
  </cols>
  <sheetData>
    <row r="1" spans="1:25" ht="15.75" thickBot="1" x14ac:dyDescent="0.3">
      <c r="A1" s="25" t="s">
        <v>23</v>
      </c>
      <c r="G1" s="25" t="s">
        <v>41</v>
      </c>
    </row>
    <row r="2" spans="1:25" ht="17.25" x14ac:dyDescent="0.25">
      <c r="A2" t="s">
        <v>6</v>
      </c>
      <c r="B2">
        <f>25</f>
        <v>25</v>
      </c>
      <c r="C2" t="s">
        <v>11</v>
      </c>
      <c r="G2" s="31" t="s">
        <v>25</v>
      </c>
      <c r="H2" s="32">
        <f>160*SQRT(B2/B3)</f>
        <v>89.442719099991592</v>
      </c>
      <c r="I2" t="s">
        <v>1</v>
      </c>
      <c r="J2" s="1" t="s">
        <v>21</v>
      </c>
      <c r="K2" s="33">
        <f>B3+B4</f>
        <v>380</v>
      </c>
      <c r="L2" t="s">
        <v>12</v>
      </c>
      <c r="P2" s="51" t="s">
        <v>27</v>
      </c>
      <c r="Q2" s="21" t="s">
        <v>28</v>
      </c>
      <c r="R2" s="22"/>
      <c r="S2" s="22"/>
      <c r="T2" s="22"/>
      <c r="U2" s="22"/>
      <c r="V2" s="22"/>
      <c r="W2" s="22"/>
      <c r="X2" s="22"/>
      <c r="Y2" s="23"/>
    </row>
    <row r="3" spans="1:25" ht="18" thickBot="1" x14ac:dyDescent="0.3">
      <c r="A3" s="1" t="s">
        <v>13</v>
      </c>
      <c r="B3">
        <v>80</v>
      </c>
      <c r="C3" t="s">
        <v>12</v>
      </c>
      <c r="G3" s="8" t="s">
        <v>20</v>
      </c>
      <c r="H3" s="5">
        <f>R8</f>
        <v>2</v>
      </c>
      <c r="I3" t="s">
        <v>0</v>
      </c>
      <c r="P3" s="52"/>
      <c r="Q3" s="24">
        <v>100</v>
      </c>
      <c r="R3" s="49">
        <v>150</v>
      </c>
      <c r="S3" s="6">
        <v>200</v>
      </c>
      <c r="T3" s="6">
        <v>250</v>
      </c>
      <c r="U3" s="6">
        <v>300</v>
      </c>
      <c r="V3" s="6">
        <v>350</v>
      </c>
      <c r="W3" s="6">
        <v>400</v>
      </c>
      <c r="X3" s="6">
        <v>450</v>
      </c>
      <c r="Y3" s="6">
        <v>500</v>
      </c>
    </row>
    <row r="4" spans="1:25" ht="18.75" thickBot="1" x14ac:dyDescent="0.3">
      <c r="A4" s="1" t="s">
        <v>14</v>
      </c>
      <c r="B4">
        <v>300</v>
      </c>
      <c r="C4" t="s">
        <v>12</v>
      </c>
      <c r="G4" s="29" t="s">
        <v>19</v>
      </c>
      <c r="H4" s="38">
        <f>E26-J26+H3</f>
        <v>54</v>
      </c>
      <c r="I4" t="s">
        <v>0</v>
      </c>
      <c r="P4" s="2">
        <v>100</v>
      </c>
      <c r="Q4" s="2">
        <v>1</v>
      </c>
      <c r="R4" s="48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</row>
    <row r="5" spans="1:25" ht="17.25" x14ac:dyDescent="0.25">
      <c r="A5" s="1" t="s">
        <v>24</v>
      </c>
      <c r="B5">
        <v>150</v>
      </c>
      <c r="C5" t="s">
        <v>12</v>
      </c>
      <c r="G5" s="31" t="s">
        <v>26</v>
      </c>
      <c r="H5" s="39"/>
      <c r="I5" t="s">
        <v>1</v>
      </c>
      <c r="P5" s="2">
        <v>150</v>
      </c>
      <c r="Q5" s="2">
        <v>1</v>
      </c>
      <c r="R5" s="48">
        <v>1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</row>
    <row r="6" spans="1:25" x14ac:dyDescent="0.25">
      <c r="P6" s="2">
        <v>200</v>
      </c>
      <c r="Q6" s="2">
        <v>2</v>
      </c>
      <c r="R6" s="48">
        <v>1</v>
      </c>
      <c r="S6" s="2">
        <v>1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</row>
    <row r="7" spans="1:25" ht="18" x14ac:dyDescent="0.25">
      <c r="B7" s="5" t="s">
        <v>29</v>
      </c>
      <c r="C7" s="16" t="s">
        <v>3</v>
      </c>
      <c r="D7" s="16" t="s">
        <v>15</v>
      </c>
      <c r="E7" s="16" t="s">
        <v>16</v>
      </c>
      <c r="G7" s="12" t="s">
        <v>29</v>
      </c>
      <c r="H7" s="16" t="s">
        <v>8</v>
      </c>
      <c r="I7" s="16" t="s">
        <v>7</v>
      </c>
      <c r="J7" s="13" t="s">
        <v>9</v>
      </c>
      <c r="P7" s="2">
        <v>250</v>
      </c>
      <c r="Q7" s="2">
        <v>2</v>
      </c>
      <c r="R7" s="48">
        <v>1</v>
      </c>
      <c r="S7" s="2">
        <v>1</v>
      </c>
      <c r="T7" s="2">
        <v>1</v>
      </c>
      <c r="U7" s="2">
        <v>0</v>
      </c>
      <c r="V7" s="2">
        <v>0</v>
      </c>
      <c r="W7" s="2">
        <v>0</v>
      </c>
      <c r="X7" s="2">
        <v>0</v>
      </c>
      <c r="Y7" s="2">
        <v>0</v>
      </c>
    </row>
    <row r="8" spans="1:25" ht="16.5" customHeight="1" x14ac:dyDescent="0.25">
      <c r="A8" s="1"/>
      <c r="B8" s="6" t="s">
        <v>2</v>
      </c>
      <c r="C8" s="17" t="s">
        <v>0</v>
      </c>
      <c r="D8" s="17" t="s">
        <v>0</v>
      </c>
      <c r="E8" s="17" t="s">
        <v>0</v>
      </c>
      <c r="G8" s="14" t="s">
        <v>1</v>
      </c>
      <c r="H8" s="17" t="s">
        <v>0</v>
      </c>
      <c r="I8" s="17" t="s">
        <v>0</v>
      </c>
      <c r="J8" s="15" t="s">
        <v>0</v>
      </c>
      <c r="P8" s="48">
        <v>300</v>
      </c>
      <c r="Q8" s="48">
        <v>3</v>
      </c>
      <c r="R8" s="50">
        <v>2</v>
      </c>
      <c r="S8" s="2">
        <v>1</v>
      </c>
      <c r="T8" s="2">
        <v>1</v>
      </c>
      <c r="U8" s="2">
        <v>1</v>
      </c>
      <c r="V8" s="2">
        <v>0</v>
      </c>
      <c r="W8" s="2">
        <v>0</v>
      </c>
      <c r="X8" s="2">
        <v>0</v>
      </c>
      <c r="Y8" s="2">
        <v>0</v>
      </c>
    </row>
    <row r="9" spans="1:25" ht="16.5" customHeight="1" x14ac:dyDescent="0.25">
      <c r="A9" s="20"/>
      <c r="B9" s="10">
        <v>100</v>
      </c>
      <c r="C9" s="11">
        <f>30 + 15*LOG10(B9)</f>
        <v>60</v>
      </c>
      <c r="D9" s="10">
        <v>0</v>
      </c>
      <c r="E9" s="11">
        <f>C9-D9</f>
        <v>60</v>
      </c>
      <c r="G9" s="2">
        <v>100</v>
      </c>
      <c r="H9" s="11">
        <v>67</v>
      </c>
      <c r="I9" s="11" cm="1">
        <f t="array" ref="I9">30*LOG10(G9/f0)</f>
        <v>1.4536501951208469</v>
      </c>
      <c r="J9" s="11">
        <f>H9 -I9</f>
        <v>65.546349804879156</v>
      </c>
      <c r="P9" s="2">
        <v>350</v>
      </c>
      <c r="Q9" s="2">
        <v>3</v>
      </c>
      <c r="R9" s="2">
        <v>2</v>
      </c>
      <c r="S9" s="2">
        <v>1</v>
      </c>
      <c r="T9" s="2">
        <v>1</v>
      </c>
      <c r="U9" s="2">
        <v>1</v>
      </c>
      <c r="V9" s="2">
        <v>1</v>
      </c>
      <c r="W9" s="2">
        <v>0</v>
      </c>
      <c r="X9" s="2">
        <v>0</v>
      </c>
      <c r="Y9" s="2">
        <v>0</v>
      </c>
    </row>
    <row r="10" spans="1:25" ht="16.5" customHeight="1" x14ac:dyDescent="0.25">
      <c r="A10" s="20"/>
      <c r="B10" s="10">
        <v>125</v>
      </c>
      <c r="C10" s="11">
        <f t="shared" ref="C10:C24" si="0">30 + 15*LOG10(B10)</f>
        <v>61.453650195120844</v>
      </c>
      <c r="D10" s="10">
        <v>0</v>
      </c>
      <c r="E10" s="11">
        <f t="shared" ref="E10:E24" si="1">C10-D10</f>
        <v>61.453650195120844</v>
      </c>
      <c r="G10" s="2">
        <v>125</v>
      </c>
      <c r="H10" s="11">
        <v>67.5</v>
      </c>
      <c r="I10" s="11" cm="1">
        <f t="array" ref="I10">30*LOG10(G10/f0)</f>
        <v>4.3609505853625379</v>
      </c>
      <c r="J10" s="11">
        <f t="shared" ref="J10:J24" si="2">H10 -I10</f>
        <v>63.139049414637462</v>
      </c>
      <c r="P10" s="2">
        <v>400</v>
      </c>
      <c r="Q10" s="2">
        <v>4</v>
      </c>
      <c r="R10" s="2">
        <v>2</v>
      </c>
      <c r="S10" s="2">
        <v>2</v>
      </c>
      <c r="T10" s="2">
        <v>1</v>
      </c>
      <c r="U10" s="2">
        <v>1</v>
      </c>
      <c r="V10" s="2">
        <v>1</v>
      </c>
      <c r="W10" s="2">
        <v>1</v>
      </c>
      <c r="X10" s="2">
        <v>0</v>
      </c>
      <c r="Y10" s="2">
        <v>0</v>
      </c>
    </row>
    <row r="11" spans="1:25" ht="16.5" customHeight="1" x14ac:dyDescent="0.25">
      <c r="A11" s="20"/>
      <c r="B11" s="10">
        <v>160</v>
      </c>
      <c r="C11" s="11">
        <f t="shared" si="0"/>
        <v>63.061799739838868</v>
      </c>
      <c r="D11" s="10">
        <v>0</v>
      </c>
      <c r="E11" s="11">
        <f t="shared" si="1"/>
        <v>63.061799739838868</v>
      </c>
      <c r="G11" s="2">
        <v>160</v>
      </c>
      <c r="H11" s="11">
        <v>68</v>
      </c>
      <c r="I11" s="11" cm="1">
        <f t="array" ref="I11">30*LOG10(G11/f0)</f>
        <v>7.5772496747985887</v>
      </c>
      <c r="J11" s="11">
        <f t="shared" si="2"/>
        <v>60.422750325201413</v>
      </c>
      <c r="P11" s="2">
        <v>450</v>
      </c>
      <c r="Q11" s="2">
        <v>4</v>
      </c>
      <c r="R11" s="2">
        <v>3</v>
      </c>
      <c r="S11" s="2">
        <v>2</v>
      </c>
      <c r="T11" s="2">
        <v>2</v>
      </c>
      <c r="U11" s="2">
        <v>1</v>
      </c>
      <c r="V11" s="2">
        <v>1</v>
      </c>
      <c r="W11" s="2">
        <v>1</v>
      </c>
      <c r="X11" s="2">
        <v>1</v>
      </c>
      <c r="Y11" s="2">
        <v>1</v>
      </c>
    </row>
    <row r="12" spans="1:25" ht="16.5" customHeight="1" x14ac:dyDescent="0.25">
      <c r="A12" s="20"/>
      <c r="B12" s="10">
        <v>200</v>
      </c>
      <c r="C12" s="11">
        <f t="shared" si="0"/>
        <v>64.515449934959719</v>
      </c>
      <c r="D12" s="10">
        <v>2</v>
      </c>
      <c r="E12" s="11">
        <f t="shared" si="1"/>
        <v>62.515449934959719</v>
      </c>
      <c r="G12" s="2">
        <v>200</v>
      </c>
      <c r="H12" s="11">
        <v>68.5</v>
      </c>
      <c r="I12" s="11" cm="1">
        <f t="array" ref="I12">30*LOG10(G12/f0)</f>
        <v>10.484550065040283</v>
      </c>
      <c r="J12" s="11">
        <f t="shared" si="2"/>
        <v>58.015449934959719</v>
      </c>
      <c r="P12" s="2">
        <v>500</v>
      </c>
      <c r="Q12" s="2">
        <v>4</v>
      </c>
      <c r="R12" s="2">
        <v>3</v>
      </c>
      <c r="S12" s="2">
        <v>2</v>
      </c>
      <c r="T12" s="2">
        <v>2</v>
      </c>
      <c r="U12" s="2">
        <v>1</v>
      </c>
      <c r="V12" s="2">
        <v>1</v>
      </c>
      <c r="W12" s="2">
        <v>1</v>
      </c>
      <c r="X12" s="2">
        <v>1</v>
      </c>
      <c r="Y12" s="2">
        <v>1</v>
      </c>
    </row>
    <row r="13" spans="1:25" ht="16.5" customHeight="1" x14ac:dyDescent="0.25">
      <c r="A13" s="20"/>
      <c r="B13" s="10">
        <v>250</v>
      </c>
      <c r="C13" s="11">
        <f t="shared" si="0"/>
        <v>65.969100130080562</v>
      </c>
      <c r="D13" s="10">
        <v>6</v>
      </c>
      <c r="E13" s="11">
        <f t="shared" si="1"/>
        <v>59.969100130080562</v>
      </c>
      <c r="G13" s="2">
        <v>250</v>
      </c>
      <c r="H13" s="11">
        <v>69</v>
      </c>
      <c r="I13" s="11" cm="1">
        <f t="array" ref="I13">30*LOG10(G13/f0)</f>
        <v>13.391850455281974</v>
      </c>
      <c r="J13" s="11">
        <f t="shared" si="2"/>
        <v>55.608149544718025</v>
      </c>
      <c r="P13" s="2">
        <v>600</v>
      </c>
      <c r="Q13" s="2">
        <v>5</v>
      </c>
      <c r="R13" s="2">
        <v>4</v>
      </c>
      <c r="S13" s="2">
        <v>3</v>
      </c>
      <c r="T13" s="2">
        <v>2</v>
      </c>
      <c r="U13" s="2">
        <v>2</v>
      </c>
      <c r="V13" s="2">
        <v>1</v>
      </c>
      <c r="W13" s="2">
        <v>1</v>
      </c>
      <c r="X13" s="2">
        <v>1</v>
      </c>
      <c r="Y13" s="2">
        <v>1</v>
      </c>
    </row>
    <row r="14" spans="1:25" ht="16.5" customHeight="1" x14ac:dyDescent="0.25">
      <c r="A14" s="20"/>
      <c r="B14" s="10">
        <v>315</v>
      </c>
      <c r="C14" s="11">
        <f t="shared" si="0"/>
        <v>67.474658306844006</v>
      </c>
      <c r="D14" s="10">
        <v>10</v>
      </c>
      <c r="E14" s="11">
        <f t="shared" si="1"/>
        <v>57.474658306844006</v>
      </c>
      <c r="G14" s="2">
        <v>315</v>
      </c>
      <c r="H14" s="11">
        <v>69.5</v>
      </c>
      <c r="I14" s="11" cm="1">
        <f t="array" ref="I14">30*LOG10(G14/f0)</f>
        <v>16.402966808808859</v>
      </c>
      <c r="J14" s="11">
        <f t="shared" si="2"/>
        <v>53.097033191191144</v>
      </c>
      <c r="P14" s="2">
        <v>700</v>
      </c>
      <c r="Q14" s="2">
        <v>5</v>
      </c>
      <c r="R14" s="2">
        <v>4</v>
      </c>
      <c r="S14" s="2">
        <v>3</v>
      </c>
      <c r="T14" s="2">
        <v>3</v>
      </c>
      <c r="U14" s="2">
        <v>2</v>
      </c>
      <c r="V14" s="2">
        <v>2</v>
      </c>
      <c r="W14" s="2">
        <v>1</v>
      </c>
      <c r="X14" s="2">
        <v>1</v>
      </c>
      <c r="Y14" s="2">
        <v>1</v>
      </c>
    </row>
    <row r="15" spans="1:25" ht="16.5" customHeight="1" x14ac:dyDescent="0.25">
      <c r="A15" s="20"/>
      <c r="B15" s="10">
        <v>400</v>
      </c>
      <c r="C15" s="11">
        <f t="shared" si="0"/>
        <v>69.030899869919438</v>
      </c>
      <c r="D15" s="10">
        <v>14</v>
      </c>
      <c r="E15" s="11">
        <f t="shared" si="1"/>
        <v>55.030899869919438</v>
      </c>
      <c r="G15" s="2">
        <v>400</v>
      </c>
      <c r="H15" s="11">
        <v>70</v>
      </c>
      <c r="I15" s="11" cm="1">
        <f t="array" ref="I15">30*LOG10(G15/f0)</f>
        <v>19.515449934959719</v>
      </c>
      <c r="J15" s="11">
        <f t="shared" si="2"/>
        <v>50.484550065040281</v>
      </c>
      <c r="P15" s="2">
        <v>800</v>
      </c>
      <c r="Q15" s="2">
        <v>6</v>
      </c>
      <c r="R15" s="2">
        <v>4</v>
      </c>
      <c r="S15" s="2">
        <v>4</v>
      </c>
      <c r="T15" s="2">
        <v>3</v>
      </c>
      <c r="U15" s="2">
        <v>2</v>
      </c>
      <c r="V15" s="2">
        <v>2</v>
      </c>
      <c r="W15" s="2">
        <v>2</v>
      </c>
      <c r="X15" s="2">
        <v>1</v>
      </c>
      <c r="Y15" s="2">
        <v>1</v>
      </c>
    </row>
    <row r="16" spans="1:25" ht="16.5" customHeight="1" x14ac:dyDescent="0.25">
      <c r="A16" s="20"/>
      <c r="B16" s="10">
        <v>500</v>
      </c>
      <c r="C16" s="11">
        <f t="shared" si="0"/>
        <v>70.484550065040281</v>
      </c>
      <c r="D16" s="10">
        <v>18</v>
      </c>
      <c r="E16" s="11">
        <f t="shared" si="1"/>
        <v>52.484550065040281</v>
      </c>
      <c r="G16" s="2">
        <v>500</v>
      </c>
      <c r="H16" s="11">
        <v>70.5</v>
      </c>
      <c r="I16" s="11" cm="1">
        <f t="array" ref="I16">30*LOG10(G16/f0)</f>
        <v>22.42275032520141</v>
      </c>
      <c r="J16" s="11">
        <f t="shared" si="2"/>
        <v>48.077249674798594</v>
      </c>
      <c r="P16" s="2">
        <v>900</v>
      </c>
      <c r="Q16" s="2">
        <v>6</v>
      </c>
      <c r="R16" s="2">
        <v>5</v>
      </c>
      <c r="S16" s="2">
        <v>4</v>
      </c>
      <c r="T16" s="2">
        <v>3</v>
      </c>
      <c r="U16" s="2">
        <v>3</v>
      </c>
      <c r="V16" s="2">
        <v>2</v>
      </c>
      <c r="W16" s="2">
        <v>2</v>
      </c>
      <c r="X16" s="2">
        <v>2</v>
      </c>
      <c r="Y16" s="2">
        <v>2</v>
      </c>
    </row>
    <row r="17" spans="1:25" ht="16.5" customHeight="1" x14ac:dyDescent="0.25">
      <c r="A17" s="20"/>
      <c r="B17" s="10">
        <v>630</v>
      </c>
      <c r="C17" s="11">
        <f t="shared" si="0"/>
        <v>71.990108241803725</v>
      </c>
      <c r="D17" s="10">
        <v>22</v>
      </c>
      <c r="E17" s="11">
        <f t="shared" si="1"/>
        <v>49.990108241803725</v>
      </c>
      <c r="G17" s="2">
        <v>630</v>
      </c>
      <c r="H17" s="11">
        <v>71</v>
      </c>
      <c r="I17" s="11" cm="1">
        <f t="array" ref="I17">30*LOG10(G17/f0)</f>
        <v>25.433866678728297</v>
      </c>
      <c r="J17" s="11">
        <f t="shared" si="2"/>
        <v>45.566133321271707</v>
      </c>
    </row>
    <row r="18" spans="1:25" ht="16.5" customHeight="1" x14ac:dyDescent="0.25">
      <c r="A18" s="20"/>
      <c r="B18" s="10">
        <v>800</v>
      </c>
      <c r="C18" s="11">
        <f t="shared" si="0"/>
        <v>73.546349804879156</v>
      </c>
      <c r="D18" s="10">
        <v>26</v>
      </c>
      <c r="E18" s="11">
        <f t="shared" si="1"/>
        <v>47.546349804879156</v>
      </c>
      <c r="G18" s="2">
        <v>800</v>
      </c>
      <c r="H18" s="11">
        <v>71.5</v>
      </c>
      <c r="I18" s="11" cm="1">
        <f t="array" ref="I18">30*LOG10(G18/f0)</f>
        <v>28.546349804879153</v>
      </c>
      <c r="J18" s="11">
        <f t="shared" si="2"/>
        <v>42.953650195120844</v>
      </c>
    </row>
    <row r="19" spans="1:25" ht="16.5" customHeight="1" x14ac:dyDescent="0.25">
      <c r="A19" s="20"/>
      <c r="B19" s="19">
        <v>1000</v>
      </c>
      <c r="C19" s="11">
        <f t="shared" si="0"/>
        <v>75</v>
      </c>
      <c r="D19" s="10">
        <v>30</v>
      </c>
      <c r="E19" s="11">
        <f t="shared" si="1"/>
        <v>45</v>
      </c>
      <c r="G19" s="3">
        <v>1000</v>
      </c>
      <c r="H19" s="11">
        <v>72</v>
      </c>
      <c r="I19" s="11" cm="1">
        <f t="array" ref="I19">30*LOG10(G19/f0)</f>
        <v>31.453650195120844</v>
      </c>
      <c r="J19" s="11">
        <f t="shared" si="2"/>
        <v>40.546349804879156</v>
      </c>
      <c r="S19" s="12" t="s">
        <v>29</v>
      </c>
      <c r="T19" s="16" t="s">
        <v>15</v>
      </c>
      <c r="V19" s="12" t="s">
        <v>29</v>
      </c>
      <c r="W19" s="16" t="s">
        <v>3</v>
      </c>
      <c r="X19" s="16" t="s">
        <v>4</v>
      </c>
      <c r="Y19" s="16" t="s">
        <v>5</v>
      </c>
    </row>
    <row r="20" spans="1:25" ht="16.5" customHeight="1" x14ac:dyDescent="0.25">
      <c r="A20" s="20"/>
      <c r="B20" s="19">
        <v>1250</v>
      </c>
      <c r="C20" s="11">
        <f t="shared" si="0"/>
        <v>76.453650195120844</v>
      </c>
      <c r="D20" s="10">
        <v>30</v>
      </c>
      <c r="E20" s="11">
        <f t="shared" si="1"/>
        <v>46.453650195120844</v>
      </c>
      <c r="G20" s="3">
        <v>1250</v>
      </c>
      <c r="H20" s="11">
        <v>72</v>
      </c>
      <c r="I20" s="11" cm="1">
        <f t="array" ref="I20">30*LOG10(G20/f0)</f>
        <v>34.360950585362538</v>
      </c>
      <c r="J20" s="11">
        <f t="shared" si="2"/>
        <v>37.639049414637462</v>
      </c>
      <c r="S20" s="14" t="s">
        <v>1</v>
      </c>
      <c r="T20" s="17" t="s">
        <v>0</v>
      </c>
      <c r="V20" s="14" t="s">
        <v>1</v>
      </c>
      <c r="W20" s="17" t="s">
        <v>0</v>
      </c>
      <c r="X20" s="17" t="s">
        <v>0</v>
      </c>
      <c r="Y20" s="17" t="s">
        <v>0</v>
      </c>
    </row>
    <row r="21" spans="1:25" ht="16.5" customHeight="1" x14ac:dyDescent="0.25">
      <c r="A21" s="20"/>
      <c r="B21" s="19">
        <v>1600</v>
      </c>
      <c r="C21" s="11">
        <f t="shared" si="0"/>
        <v>78.061799739838875</v>
      </c>
      <c r="D21" s="10">
        <v>30</v>
      </c>
      <c r="E21" s="11">
        <f t="shared" si="1"/>
        <v>48.061799739838875</v>
      </c>
      <c r="G21" s="3">
        <v>1600</v>
      </c>
      <c r="H21" s="11">
        <v>72</v>
      </c>
      <c r="I21" s="11" cm="1">
        <f t="array" ref="I21">30*LOG10(G21/f0)</f>
        <v>37.577249674798587</v>
      </c>
      <c r="J21" s="11">
        <f t="shared" si="2"/>
        <v>34.422750325201413</v>
      </c>
      <c r="S21" s="2">
        <v>100</v>
      </c>
      <c r="T21" s="10">
        <v>0</v>
      </c>
      <c r="V21" s="10">
        <v>100</v>
      </c>
      <c r="W21" s="11">
        <v>67</v>
      </c>
      <c r="X21" s="10">
        <v>78</v>
      </c>
      <c r="Y21" s="10">
        <v>69</v>
      </c>
    </row>
    <row r="22" spans="1:25" ht="16.5" customHeight="1" x14ac:dyDescent="0.25">
      <c r="A22" s="20"/>
      <c r="B22" s="19">
        <v>2000</v>
      </c>
      <c r="C22" s="11">
        <f t="shared" si="0"/>
        <v>79.515449934959719</v>
      </c>
      <c r="D22" s="10">
        <v>30</v>
      </c>
      <c r="E22" s="11">
        <f t="shared" si="1"/>
        <v>49.515449934959719</v>
      </c>
      <c r="G22" s="3">
        <v>2000</v>
      </c>
      <c r="H22" s="11">
        <v>72</v>
      </c>
      <c r="I22" s="11" cm="1">
        <f t="array" ref="I22">30*LOG10(G22/f0)</f>
        <v>40.484550065040281</v>
      </c>
      <c r="J22" s="11">
        <f t="shared" si="2"/>
        <v>31.515449934959719</v>
      </c>
      <c r="S22" s="2">
        <v>125</v>
      </c>
      <c r="T22" s="10">
        <v>0</v>
      </c>
      <c r="V22" s="10">
        <v>125</v>
      </c>
      <c r="W22" s="11">
        <v>67.5</v>
      </c>
      <c r="X22" s="10">
        <v>78</v>
      </c>
      <c r="Y22" s="10">
        <v>72</v>
      </c>
    </row>
    <row r="23" spans="1:25" ht="16.5" customHeight="1" x14ac:dyDescent="0.25">
      <c r="A23" s="20"/>
      <c r="B23" s="19">
        <v>2500</v>
      </c>
      <c r="C23" s="11">
        <f t="shared" si="0"/>
        <v>80.969100130080562</v>
      </c>
      <c r="D23" s="10">
        <v>30</v>
      </c>
      <c r="E23" s="11">
        <f t="shared" si="1"/>
        <v>50.969100130080562</v>
      </c>
      <c r="G23" s="3">
        <v>2500</v>
      </c>
      <c r="H23" s="11">
        <v>72</v>
      </c>
      <c r="I23" s="11" cm="1">
        <f t="array" ref="I23">30*LOG10(G23/f0)</f>
        <v>43.391850455281975</v>
      </c>
      <c r="J23" s="11">
        <f t="shared" si="2"/>
        <v>28.608149544718025</v>
      </c>
      <c r="S23" s="2">
        <v>160</v>
      </c>
      <c r="T23" s="10">
        <v>0</v>
      </c>
      <c r="V23" s="10">
        <v>160</v>
      </c>
      <c r="W23" s="11">
        <v>68</v>
      </c>
      <c r="X23" s="10">
        <v>78</v>
      </c>
      <c r="Y23" s="10">
        <v>75</v>
      </c>
    </row>
    <row r="24" spans="1:25" ht="16.5" customHeight="1" thickBot="1" x14ac:dyDescent="0.3">
      <c r="A24" s="20"/>
      <c r="B24" s="19">
        <v>3150</v>
      </c>
      <c r="C24" s="11">
        <f t="shared" si="0"/>
        <v>82.474658306844006</v>
      </c>
      <c r="D24" s="10">
        <v>30</v>
      </c>
      <c r="E24" s="11">
        <f t="shared" si="1"/>
        <v>52.474658306844006</v>
      </c>
      <c r="G24" s="3">
        <v>3150</v>
      </c>
      <c r="H24" s="11">
        <v>72</v>
      </c>
      <c r="I24" s="11" cm="1">
        <f t="array" ref="I24">30*LOG10(G24/f0)</f>
        <v>46.402966808808863</v>
      </c>
      <c r="J24" s="11">
        <f t="shared" si="2"/>
        <v>25.597033191191137</v>
      </c>
      <c r="S24" s="2">
        <v>200</v>
      </c>
      <c r="T24" s="10">
        <v>2</v>
      </c>
      <c r="V24" s="10">
        <v>200</v>
      </c>
      <c r="W24" s="11">
        <v>68.5</v>
      </c>
      <c r="X24" s="10">
        <v>78</v>
      </c>
      <c r="Y24" s="10">
        <v>78</v>
      </c>
    </row>
    <row r="25" spans="1:25" ht="18.75" thickBot="1" x14ac:dyDescent="0.3">
      <c r="D25" s="29" t="s">
        <v>17</v>
      </c>
      <c r="E25" s="30">
        <f>J32</f>
        <v>58</v>
      </c>
      <c r="I25" s="9" t="s">
        <v>10</v>
      </c>
      <c r="J25" s="30">
        <f>N32</f>
        <v>53</v>
      </c>
      <c r="S25" s="2">
        <v>250</v>
      </c>
      <c r="T25" s="10">
        <v>6</v>
      </c>
      <c r="V25" s="10">
        <v>250</v>
      </c>
      <c r="W25" s="11">
        <v>69</v>
      </c>
      <c r="X25" s="10">
        <v>78</v>
      </c>
      <c r="Y25" s="10">
        <v>78</v>
      </c>
    </row>
    <row r="26" spans="1:25" ht="18.75" thickBot="1" x14ac:dyDescent="0.3">
      <c r="D26" s="29" t="s">
        <v>18</v>
      </c>
      <c r="E26" s="30">
        <f>E25 + 19</f>
        <v>77</v>
      </c>
      <c r="I26" s="29" t="s">
        <v>22</v>
      </c>
      <c r="J26" s="37">
        <f>78 - J25</f>
        <v>25</v>
      </c>
      <c r="S26" s="2">
        <v>315</v>
      </c>
      <c r="T26" s="10">
        <v>10</v>
      </c>
      <c r="V26" s="10">
        <v>315</v>
      </c>
      <c r="W26" s="11">
        <v>69.5</v>
      </c>
      <c r="X26" s="10">
        <v>78</v>
      </c>
      <c r="Y26" s="10">
        <v>78</v>
      </c>
    </row>
    <row r="27" spans="1:25" x14ac:dyDescent="0.25">
      <c r="S27" s="2">
        <v>400</v>
      </c>
      <c r="T27" s="10">
        <v>14</v>
      </c>
      <c r="V27" s="10">
        <v>400</v>
      </c>
      <c r="W27" s="11">
        <v>70</v>
      </c>
      <c r="X27" s="10">
        <v>76</v>
      </c>
      <c r="Y27" s="10">
        <v>78</v>
      </c>
    </row>
    <row r="28" spans="1:25" x14ac:dyDescent="0.25">
      <c r="S28" s="2">
        <v>500</v>
      </c>
      <c r="T28" s="10">
        <v>18</v>
      </c>
      <c r="V28" s="10">
        <v>500</v>
      </c>
      <c r="W28" s="11">
        <v>70.5</v>
      </c>
      <c r="X28" s="10">
        <v>74</v>
      </c>
      <c r="Y28" s="10">
        <v>78</v>
      </c>
    </row>
    <row r="29" spans="1:25" x14ac:dyDescent="0.25">
      <c r="B29" t="s">
        <v>31</v>
      </c>
      <c r="G29" t="s">
        <v>32</v>
      </c>
      <c r="K29" t="s">
        <v>40</v>
      </c>
      <c r="S29" s="2">
        <v>630</v>
      </c>
      <c r="T29" s="10">
        <v>22</v>
      </c>
      <c r="V29" s="10">
        <v>630</v>
      </c>
      <c r="W29" s="11">
        <v>71</v>
      </c>
      <c r="X29" s="10">
        <v>72</v>
      </c>
      <c r="Y29" s="10">
        <v>78</v>
      </c>
    </row>
    <row r="30" spans="1:25" ht="18" x14ac:dyDescent="0.25">
      <c r="C30" s="5" t="s">
        <v>29</v>
      </c>
      <c r="D30" s="28" t="s">
        <v>37</v>
      </c>
      <c r="E30" s="18"/>
      <c r="G30" s="10" t="s">
        <v>16</v>
      </c>
      <c r="K30" s="10" t="s">
        <v>9</v>
      </c>
      <c r="S30" s="2">
        <v>800</v>
      </c>
      <c r="T30" s="10">
        <v>26</v>
      </c>
      <c r="V30" s="10">
        <v>800</v>
      </c>
      <c r="W30" s="11">
        <v>71.5</v>
      </c>
      <c r="X30" s="10">
        <v>69</v>
      </c>
      <c r="Y30" s="10">
        <v>76</v>
      </c>
    </row>
    <row r="31" spans="1:25" ht="64.5" customHeight="1" thickBot="1" x14ac:dyDescent="0.3">
      <c r="B31" s="27" t="s">
        <v>42</v>
      </c>
      <c r="C31" s="6" t="s">
        <v>2</v>
      </c>
      <c r="D31" s="4" t="s">
        <v>38</v>
      </c>
      <c r="E31" s="4" t="s">
        <v>39</v>
      </c>
      <c r="G31" s="35" t="s">
        <v>44</v>
      </c>
      <c r="H31" s="35" t="s">
        <v>36</v>
      </c>
      <c r="I31" s="10" t="s">
        <v>35</v>
      </c>
      <c r="J31" s="36" t="s">
        <v>33</v>
      </c>
      <c r="K31" s="35" t="s">
        <v>43</v>
      </c>
      <c r="L31" s="35" t="s">
        <v>36</v>
      </c>
      <c r="M31" s="10" t="s">
        <v>35</v>
      </c>
      <c r="N31" s="36" t="s">
        <v>34</v>
      </c>
      <c r="S31" s="19">
        <v>1000</v>
      </c>
      <c r="T31" s="10">
        <v>30</v>
      </c>
      <c r="V31" s="19">
        <v>1000</v>
      </c>
      <c r="W31" s="11">
        <v>72</v>
      </c>
      <c r="X31" s="10">
        <v>66</v>
      </c>
      <c r="Y31" s="10">
        <v>74</v>
      </c>
    </row>
    <row r="32" spans="1:25" ht="16.5" customHeight="1" thickBot="1" x14ac:dyDescent="0.3">
      <c r="B32" s="26">
        <f>10*LOG10(C32)</f>
        <v>20</v>
      </c>
      <c r="C32" s="2">
        <v>100</v>
      </c>
      <c r="D32" s="2">
        <v>62</v>
      </c>
      <c r="E32" s="2"/>
      <c r="G32" s="34">
        <f>E9</f>
        <v>60</v>
      </c>
      <c r="H32" s="34">
        <f>indice(G32:G47,1)</f>
        <v>60</v>
      </c>
      <c r="I32" s="41">
        <f>MAX(0,G32-H32)</f>
        <v>0</v>
      </c>
      <c r="J32" s="37">
        <f>indice(G32:G47,0)</f>
        <v>58</v>
      </c>
      <c r="K32" s="34">
        <f t="shared" ref="K32:K47" si="3">J9</f>
        <v>65.546349804879156</v>
      </c>
      <c r="L32" s="34">
        <f>indice(K32:K47,1)</f>
        <v>55</v>
      </c>
      <c r="M32" s="41">
        <f>MAX(0,K32-L32)</f>
        <v>10.546349804879156</v>
      </c>
      <c r="N32" s="37">
        <f>indice(K32:K47,0)</f>
        <v>53</v>
      </c>
      <c r="P32" s="40"/>
      <c r="S32" s="3">
        <v>1250</v>
      </c>
      <c r="T32" s="10">
        <v>30</v>
      </c>
      <c r="V32" s="19">
        <v>1250</v>
      </c>
      <c r="W32" s="11">
        <v>72</v>
      </c>
      <c r="X32" s="10">
        <v>63</v>
      </c>
      <c r="Y32" s="10">
        <v>72</v>
      </c>
    </row>
    <row r="33" spans="2:25" x14ac:dyDescent="0.25">
      <c r="B33" s="26">
        <f t="shared" ref="B33:B47" si="4">10*LOG10(C33)</f>
        <v>20.969100130080562</v>
      </c>
      <c r="C33" s="2">
        <v>125</v>
      </c>
      <c r="D33" s="2">
        <v>62</v>
      </c>
      <c r="E33" s="2">
        <v>67</v>
      </c>
      <c r="G33" s="34">
        <f t="shared" ref="G33:G47" si="5">E10</f>
        <v>61.453650195120844</v>
      </c>
      <c r="H33" s="11">
        <f>indice(G32:G47,2)</f>
        <v>60</v>
      </c>
      <c r="I33" s="42">
        <f t="shared" ref="I33:I47" si="6">MAX(0,G33-H33)</f>
        <v>1.4536501951208436</v>
      </c>
      <c r="J33" s="7"/>
      <c r="K33" s="11">
        <f t="shared" si="3"/>
        <v>63.139049414637462</v>
      </c>
      <c r="L33" s="11">
        <f>indice(K32:K47,2)</f>
        <v>55</v>
      </c>
      <c r="M33" s="42">
        <f t="shared" ref="M33:M47" si="7">MAX(0,K33-L33)</f>
        <v>8.1390494146374621</v>
      </c>
      <c r="N33" s="7"/>
      <c r="P33" s="40"/>
      <c r="S33" s="3">
        <v>1600</v>
      </c>
      <c r="T33" s="10">
        <v>30</v>
      </c>
      <c r="V33" s="19">
        <v>1600</v>
      </c>
      <c r="W33" s="11">
        <v>72</v>
      </c>
      <c r="X33" s="10">
        <v>60</v>
      </c>
      <c r="Y33" s="10">
        <v>69</v>
      </c>
    </row>
    <row r="34" spans="2:25" x14ac:dyDescent="0.25">
      <c r="B34" s="26">
        <f t="shared" si="4"/>
        <v>22.041199826559247</v>
      </c>
      <c r="C34" s="2">
        <v>160</v>
      </c>
      <c r="D34" s="2">
        <v>62</v>
      </c>
      <c r="E34" s="2"/>
      <c r="G34" s="34">
        <f t="shared" si="5"/>
        <v>63.061799739838868</v>
      </c>
      <c r="H34" s="11">
        <f>indice(G32:G47,3)</f>
        <v>60</v>
      </c>
      <c r="I34" s="42">
        <f t="shared" si="6"/>
        <v>3.0617997398388681</v>
      </c>
      <c r="J34" s="8"/>
      <c r="K34" s="11">
        <f t="shared" si="3"/>
        <v>60.422750325201413</v>
      </c>
      <c r="L34" s="11">
        <f>indice(K32:K47,3)</f>
        <v>55</v>
      </c>
      <c r="M34" s="42">
        <f t="shared" si="7"/>
        <v>5.4227503252014131</v>
      </c>
      <c r="N34" s="8"/>
      <c r="P34" s="40"/>
      <c r="S34" s="3">
        <v>2000</v>
      </c>
      <c r="T34" s="10">
        <v>30</v>
      </c>
      <c r="V34" s="19">
        <v>2000</v>
      </c>
      <c r="W34" s="11">
        <v>72</v>
      </c>
      <c r="X34" s="10">
        <v>57</v>
      </c>
      <c r="Y34" s="10">
        <v>66</v>
      </c>
    </row>
    <row r="35" spans="2:25" ht="15" customHeight="1" x14ac:dyDescent="0.25">
      <c r="B35" s="26">
        <f t="shared" si="4"/>
        <v>23.010299956639813</v>
      </c>
      <c r="C35" s="2">
        <v>200</v>
      </c>
      <c r="D35" s="2">
        <v>62</v>
      </c>
      <c r="E35" s="2"/>
      <c r="G35" s="34">
        <f t="shared" si="5"/>
        <v>62.515449934959719</v>
      </c>
      <c r="H35" s="11">
        <f>indice(G32:G47,4)</f>
        <v>60</v>
      </c>
      <c r="I35" s="42">
        <f t="shared" si="6"/>
        <v>2.5154499349597188</v>
      </c>
      <c r="J35" s="8"/>
      <c r="K35" s="11">
        <f t="shared" si="3"/>
        <v>58.015449934959719</v>
      </c>
      <c r="L35" s="11">
        <f>indice(K32:K47,4)</f>
        <v>55</v>
      </c>
      <c r="M35" s="42">
        <f t="shared" si="7"/>
        <v>3.0154499349597188</v>
      </c>
      <c r="N35" s="8"/>
      <c r="P35" s="40"/>
      <c r="S35" s="3">
        <v>2500</v>
      </c>
      <c r="T35" s="10">
        <v>30</v>
      </c>
      <c r="V35" s="19">
        <v>2500</v>
      </c>
      <c r="W35" s="11">
        <v>72</v>
      </c>
      <c r="X35" s="10">
        <v>54</v>
      </c>
      <c r="Y35" s="10">
        <v>63</v>
      </c>
    </row>
    <row r="36" spans="2:25" x14ac:dyDescent="0.25">
      <c r="B36" s="26">
        <f t="shared" si="4"/>
        <v>23.979400086720375</v>
      </c>
      <c r="C36" s="2">
        <v>250</v>
      </c>
      <c r="D36" s="2">
        <v>62</v>
      </c>
      <c r="E36" s="2">
        <v>67</v>
      </c>
      <c r="G36" s="34">
        <f t="shared" si="5"/>
        <v>59.969100130080562</v>
      </c>
      <c r="H36" s="11">
        <f>indice(G32:G47,5)</f>
        <v>60</v>
      </c>
      <c r="I36" s="42">
        <f t="shared" si="6"/>
        <v>0</v>
      </c>
      <c r="J36" s="8"/>
      <c r="K36" s="11">
        <f t="shared" si="3"/>
        <v>55.608149544718025</v>
      </c>
      <c r="L36" s="11">
        <f>indice(K32:K47,5)</f>
        <v>55</v>
      </c>
      <c r="M36" s="42">
        <f t="shared" si="7"/>
        <v>0.60814954471802452</v>
      </c>
      <c r="N36" s="8"/>
      <c r="P36" s="40"/>
      <c r="S36" s="3">
        <v>3150</v>
      </c>
      <c r="T36" s="10">
        <v>30</v>
      </c>
      <c r="V36" s="19">
        <v>3150</v>
      </c>
      <c r="W36" s="11">
        <v>72</v>
      </c>
      <c r="X36" s="10">
        <v>51</v>
      </c>
      <c r="Y36" s="10">
        <v>60</v>
      </c>
    </row>
    <row r="37" spans="2:25" x14ac:dyDescent="0.25">
      <c r="B37" s="26">
        <f t="shared" si="4"/>
        <v>24.983105537896005</v>
      </c>
      <c r="C37" s="2">
        <v>315</v>
      </c>
      <c r="D37" s="2">
        <v>62</v>
      </c>
      <c r="E37" s="2"/>
      <c r="G37" s="34">
        <f t="shared" si="5"/>
        <v>57.474658306844006</v>
      </c>
      <c r="H37" s="11">
        <f>indice(G32:G47,6)</f>
        <v>60</v>
      </c>
      <c r="I37" s="42">
        <f t="shared" si="6"/>
        <v>0</v>
      </c>
      <c r="J37" s="8"/>
      <c r="K37" s="11">
        <f t="shared" si="3"/>
        <v>53.097033191191144</v>
      </c>
      <c r="L37" s="11">
        <f>indice(K32:K47,6)</f>
        <v>55</v>
      </c>
      <c r="M37" s="42">
        <f t="shared" si="7"/>
        <v>0</v>
      </c>
      <c r="N37" s="8"/>
      <c r="P37" s="40"/>
    </row>
    <row r="38" spans="2:25" x14ac:dyDescent="0.25">
      <c r="B38" s="26">
        <f t="shared" si="4"/>
        <v>26.020599913279625</v>
      </c>
      <c r="C38" s="2">
        <v>400</v>
      </c>
      <c r="D38" s="2">
        <v>61</v>
      </c>
      <c r="E38" s="2"/>
      <c r="G38" s="34">
        <f t="shared" si="5"/>
        <v>55.030899869919438</v>
      </c>
      <c r="H38" s="11">
        <f>indice(G32:G47,7)</f>
        <v>59</v>
      </c>
      <c r="I38" s="42">
        <f t="shared" si="6"/>
        <v>0</v>
      </c>
      <c r="J38" s="8"/>
      <c r="K38" s="11">
        <f t="shared" si="3"/>
        <v>50.484550065040281</v>
      </c>
      <c r="L38" s="11">
        <f>indice(K32:K47,7)</f>
        <v>54</v>
      </c>
      <c r="M38" s="42">
        <f t="shared" si="7"/>
        <v>0</v>
      </c>
      <c r="N38" s="8"/>
      <c r="P38" s="40"/>
    </row>
    <row r="39" spans="2:25" x14ac:dyDescent="0.25">
      <c r="B39" s="26">
        <f t="shared" si="4"/>
        <v>26.989700043360187</v>
      </c>
      <c r="C39" s="44">
        <v>500</v>
      </c>
      <c r="D39" s="2">
        <v>60</v>
      </c>
      <c r="E39" s="2">
        <v>65</v>
      </c>
      <c r="G39" s="45">
        <f t="shared" si="5"/>
        <v>52.484550065040281</v>
      </c>
      <c r="H39" s="46">
        <f>indice(G32:G47,8)</f>
        <v>58</v>
      </c>
      <c r="I39" s="47">
        <f t="shared" si="6"/>
        <v>0</v>
      </c>
      <c r="J39" s="8"/>
      <c r="K39" s="46">
        <f t="shared" si="3"/>
        <v>48.077249674798594</v>
      </c>
      <c r="L39" s="46">
        <f>indice(K32:K47,8)</f>
        <v>53</v>
      </c>
      <c r="M39" s="47">
        <f t="shared" si="7"/>
        <v>0</v>
      </c>
      <c r="N39" s="8"/>
      <c r="P39" s="40"/>
    </row>
    <row r="40" spans="2:25" x14ac:dyDescent="0.25">
      <c r="B40" s="26">
        <f t="shared" si="4"/>
        <v>27.993405494535818</v>
      </c>
      <c r="C40" s="2">
        <v>630</v>
      </c>
      <c r="D40" s="2">
        <v>59</v>
      </c>
      <c r="E40" s="2"/>
      <c r="G40" s="34">
        <f t="shared" si="5"/>
        <v>49.990108241803725</v>
      </c>
      <c r="H40" s="11">
        <f>indice(G32:G47,9)</f>
        <v>57</v>
      </c>
      <c r="I40" s="42">
        <f t="shared" si="6"/>
        <v>0</v>
      </c>
      <c r="J40" s="8"/>
      <c r="K40" s="11">
        <f t="shared" si="3"/>
        <v>45.566133321271707</v>
      </c>
      <c r="L40" s="11">
        <f>indice(K32:K47,9)</f>
        <v>52</v>
      </c>
      <c r="M40" s="42">
        <f t="shared" si="7"/>
        <v>0</v>
      </c>
      <c r="N40" s="8"/>
      <c r="P40" s="40"/>
    </row>
    <row r="41" spans="2:25" x14ac:dyDescent="0.25">
      <c r="B41" s="26">
        <f t="shared" si="4"/>
        <v>29.030899869919438</v>
      </c>
      <c r="C41" s="2">
        <v>800</v>
      </c>
      <c r="D41" s="2">
        <v>58</v>
      </c>
      <c r="E41" s="2"/>
      <c r="G41" s="34">
        <f t="shared" si="5"/>
        <v>47.546349804879156</v>
      </c>
      <c r="H41" s="11">
        <f>indice(G32:G47,10)</f>
        <v>56</v>
      </c>
      <c r="I41" s="42">
        <f t="shared" si="6"/>
        <v>0</v>
      </c>
      <c r="J41" s="8"/>
      <c r="K41" s="11">
        <f t="shared" si="3"/>
        <v>42.953650195120844</v>
      </c>
      <c r="L41" s="11">
        <f>indice(K32:K47,10)</f>
        <v>51</v>
      </c>
      <c r="M41" s="42">
        <f t="shared" si="7"/>
        <v>0</v>
      </c>
      <c r="N41" s="8"/>
      <c r="P41" s="40"/>
    </row>
    <row r="42" spans="2:25" x14ac:dyDescent="0.25">
      <c r="B42" s="26">
        <f t="shared" si="4"/>
        <v>30</v>
      </c>
      <c r="C42" s="3">
        <v>1000</v>
      </c>
      <c r="D42" s="2">
        <v>57</v>
      </c>
      <c r="E42" s="2">
        <v>62</v>
      </c>
      <c r="G42" s="34">
        <f t="shared" si="5"/>
        <v>45</v>
      </c>
      <c r="H42" s="11">
        <f>indice(G32:G47,11)</f>
        <v>55</v>
      </c>
      <c r="I42" s="42">
        <f t="shared" si="6"/>
        <v>0</v>
      </c>
      <c r="J42" s="8"/>
      <c r="K42" s="11">
        <f t="shared" si="3"/>
        <v>40.546349804879156</v>
      </c>
      <c r="L42" s="11">
        <f>indice(K32:K47,11)</f>
        <v>50</v>
      </c>
      <c r="M42" s="42">
        <f t="shared" si="7"/>
        <v>0</v>
      </c>
      <c r="N42" s="8"/>
      <c r="P42" s="40"/>
    </row>
    <row r="43" spans="2:25" x14ac:dyDescent="0.25">
      <c r="B43" s="26">
        <f t="shared" si="4"/>
        <v>30.969100130080562</v>
      </c>
      <c r="C43" s="3">
        <v>1250</v>
      </c>
      <c r="D43" s="2">
        <v>54</v>
      </c>
      <c r="E43" s="2"/>
      <c r="G43" s="34">
        <f t="shared" si="5"/>
        <v>46.453650195120844</v>
      </c>
      <c r="H43" s="11">
        <f>indice(G32:G47,12)</f>
        <v>52</v>
      </c>
      <c r="I43" s="42">
        <f t="shared" si="6"/>
        <v>0</v>
      </c>
      <c r="J43" s="8"/>
      <c r="K43" s="11">
        <f t="shared" si="3"/>
        <v>37.639049414637462</v>
      </c>
      <c r="L43" s="11">
        <f>indice(K32:K47,12)</f>
        <v>47</v>
      </c>
      <c r="M43" s="42">
        <f t="shared" si="7"/>
        <v>0</v>
      </c>
      <c r="N43" s="8"/>
      <c r="P43" s="40"/>
    </row>
    <row r="44" spans="2:25" x14ac:dyDescent="0.25">
      <c r="B44" s="26">
        <f t="shared" si="4"/>
        <v>32.041199826559243</v>
      </c>
      <c r="C44" s="3">
        <v>1600</v>
      </c>
      <c r="D44" s="2">
        <v>51</v>
      </c>
      <c r="E44" s="2"/>
      <c r="G44" s="34">
        <f t="shared" si="5"/>
        <v>48.061799739838875</v>
      </c>
      <c r="H44" s="11">
        <f>indice(G32:G47,13)</f>
        <v>49</v>
      </c>
      <c r="I44" s="42">
        <f t="shared" si="6"/>
        <v>0</v>
      </c>
      <c r="J44" s="8"/>
      <c r="K44" s="11">
        <f t="shared" si="3"/>
        <v>34.422750325201413</v>
      </c>
      <c r="L44" s="11">
        <f>indice(K32:K47,13)</f>
        <v>44</v>
      </c>
      <c r="M44" s="42">
        <f t="shared" si="7"/>
        <v>0</v>
      </c>
      <c r="N44" s="8"/>
      <c r="P44" s="40"/>
    </row>
    <row r="45" spans="2:25" x14ac:dyDescent="0.25">
      <c r="B45" s="26">
        <f t="shared" si="4"/>
        <v>33.010299956639813</v>
      </c>
      <c r="C45" s="3">
        <v>2000</v>
      </c>
      <c r="D45" s="2">
        <v>48</v>
      </c>
      <c r="E45" s="2">
        <v>49</v>
      </c>
      <c r="G45" s="34">
        <f t="shared" si="5"/>
        <v>49.515449934959719</v>
      </c>
      <c r="H45" s="11">
        <f>indice(G32:G47,14)</f>
        <v>46</v>
      </c>
      <c r="I45" s="42">
        <f t="shared" si="6"/>
        <v>3.5154499349597188</v>
      </c>
      <c r="J45" s="8"/>
      <c r="K45" s="11">
        <f t="shared" si="3"/>
        <v>31.515449934959719</v>
      </c>
      <c r="L45" s="11">
        <f>indice(K32:K47,14)</f>
        <v>41</v>
      </c>
      <c r="M45" s="42">
        <f t="shared" si="7"/>
        <v>0</v>
      </c>
      <c r="N45" s="8"/>
      <c r="P45" s="40"/>
    </row>
    <row r="46" spans="2:25" x14ac:dyDescent="0.25">
      <c r="B46" s="26">
        <f t="shared" si="4"/>
        <v>33.979400086720375</v>
      </c>
      <c r="C46" s="3">
        <v>2500</v>
      </c>
      <c r="D46" s="2">
        <v>45</v>
      </c>
      <c r="E46" s="2"/>
      <c r="G46" s="34">
        <f t="shared" si="5"/>
        <v>50.969100130080562</v>
      </c>
      <c r="H46" s="11">
        <f>indice(G32:G47,15)</f>
        <v>43</v>
      </c>
      <c r="I46" s="42">
        <f t="shared" si="6"/>
        <v>7.9691001300805624</v>
      </c>
      <c r="J46" s="8"/>
      <c r="K46" s="11">
        <f t="shared" si="3"/>
        <v>28.608149544718025</v>
      </c>
      <c r="L46" s="11">
        <f>indice(K32:K47,15)</f>
        <v>38</v>
      </c>
      <c r="M46" s="42">
        <f t="shared" si="7"/>
        <v>0</v>
      </c>
      <c r="N46" s="8"/>
      <c r="P46" s="40"/>
    </row>
    <row r="47" spans="2:25" x14ac:dyDescent="0.25">
      <c r="B47" s="26">
        <f t="shared" si="4"/>
        <v>34.983105537896002</v>
      </c>
      <c r="C47" s="3">
        <v>3150</v>
      </c>
      <c r="D47" s="2">
        <v>42</v>
      </c>
      <c r="E47" s="2"/>
      <c r="G47" s="34">
        <f t="shared" si="5"/>
        <v>52.474658306844006</v>
      </c>
      <c r="H47" s="11">
        <f>indice(G32:G47,16)</f>
        <v>40</v>
      </c>
      <c r="I47" s="42">
        <f t="shared" si="6"/>
        <v>12.474658306844006</v>
      </c>
      <c r="J47" s="8"/>
      <c r="K47" s="11">
        <f t="shared" si="3"/>
        <v>25.597033191191137</v>
      </c>
      <c r="L47" s="11">
        <f>indice(K32:K47,16)</f>
        <v>35</v>
      </c>
      <c r="M47" s="42">
        <f t="shared" si="7"/>
        <v>0</v>
      </c>
      <c r="N47" s="8"/>
      <c r="P47" s="40"/>
    </row>
    <row r="48" spans="2:25" ht="15.75" thickBot="1" x14ac:dyDescent="0.3">
      <c r="H48" t="s">
        <v>30</v>
      </c>
      <c r="I48" s="43">
        <f>SUM(I32:I47)</f>
        <v>30.990108241803718</v>
      </c>
      <c r="L48" t="s">
        <v>30</v>
      </c>
      <c r="M48" s="43">
        <f>SUM(M32:M47)</f>
        <v>27.731749024395775</v>
      </c>
    </row>
  </sheetData>
  <mergeCells count="1">
    <mergeCell ref="P2:P3"/>
  </mergeCells>
  <conditionalFormatting sqref="I32:I47">
    <cfRule type="cellIs" dxfId="1" priority="2" operator="greaterThan">
      <formula>0</formula>
    </cfRule>
  </conditionalFormatting>
  <conditionalFormatting sqref="M32:M47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f0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Mazzarella</dc:creator>
  <cp:lastModifiedBy>Alessio</cp:lastModifiedBy>
  <dcterms:created xsi:type="dcterms:W3CDTF">2012-12-18T16:47:36Z</dcterms:created>
  <dcterms:modified xsi:type="dcterms:W3CDTF">2020-11-13T17:42:02Z</dcterms:modified>
</cp:coreProperties>
</file>