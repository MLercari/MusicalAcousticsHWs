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io\Desktop\Acoustics\Room Acoustics\hws\5_air_condition\"/>
    </mc:Choice>
  </mc:AlternateContent>
  <xr:revisionPtr revIDLastSave="0" documentId="13_ncr:1_{2563A43D-8C57-4ADE-81AE-91A8EEF9320B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calculation 1" sheetId="1" r:id="rId1"/>
    <sheet name="calculation 2" sheetId="4" r:id="rId2"/>
    <sheet name="Sheet3" sheetId="3" r:id="rId3"/>
  </sheets>
  <functionGroups builtInGroupCount="19"/>
  <definedNames>
    <definedName name="flow_out">'calculation 1'!$L$2</definedName>
    <definedName name="pfi">'calculation 1'!$G$2</definedName>
    <definedName name="pressure_fan">'calculation 1'!$G$3</definedName>
    <definedName name="qfi">'calculation 1'!$G$2</definedName>
    <definedName name="vol">'calculation 1'!$C$2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4" l="1"/>
  <c r="L20" i="4"/>
  <c r="L21" i="4"/>
  <c r="D17" i="4"/>
  <c r="E17" i="4"/>
  <c r="F17" i="4"/>
  <c r="G17" i="4"/>
  <c r="H17" i="4"/>
  <c r="H19" i="4" s="1"/>
  <c r="H21" i="4" s="1"/>
  <c r="I17" i="4"/>
  <c r="J17" i="4"/>
  <c r="K17" i="4"/>
  <c r="E13" i="1"/>
  <c r="F13" i="1"/>
  <c r="F22" i="1" s="1"/>
  <c r="F23" i="1" s="1"/>
  <c r="F25" i="1" s="1"/>
  <c r="G13" i="1"/>
  <c r="G22" i="1" s="1"/>
  <c r="H13" i="1"/>
  <c r="H22" i="1" s="1"/>
  <c r="I13" i="1"/>
  <c r="J13" i="1"/>
  <c r="K13" i="1"/>
  <c r="K22" i="1" s="1"/>
  <c r="D13" i="1"/>
  <c r="D14" i="4"/>
  <c r="L18" i="4"/>
  <c r="E19" i="4"/>
  <c r="E21" i="4" s="1"/>
  <c r="F19" i="4"/>
  <c r="F21" i="4" s="1"/>
  <c r="G19" i="4"/>
  <c r="G21" i="4" s="1"/>
  <c r="I19" i="4"/>
  <c r="I21" i="4" s="1"/>
  <c r="J19" i="4"/>
  <c r="J21" i="4" s="1"/>
  <c r="K19" i="4"/>
  <c r="K21" i="4" s="1"/>
  <c r="E16" i="4"/>
  <c r="F16" i="4"/>
  <c r="G16" i="4"/>
  <c r="H16" i="4"/>
  <c r="I16" i="4"/>
  <c r="J16" i="4"/>
  <c r="K16" i="4"/>
  <c r="D16" i="4"/>
  <c r="E22" i="1"/>
  <c r="E23" i="1" s="1"/>
  <c r="E25" i="1" s="1"/>
  <c r="I22" i="1"/>
  <c r="I23" i="1" s="1"/>
  <c r="I25" i="1" s="1"/>
  <c r="J22" i="1"/>
  <c r="D22" i="1"/>
  <c r="E15" i="1"/>
  <c r="F15" i="1"/>
  <c r="G15" i="1"/>
  <c r="H15" i="1"/>
  <c r="I15" i="1"/>
  <c r="J15" i="1"/>
  <c r="K15" i="1"/>
  <c r="D15" i="1"/>
  <c r="C3" i="1"/>
  <c r="D16" i="1"/>
  <c r="E14" i="4"/>
  <c r="F14" i="4"/>
  <c r="G14" i="4"/>
  <c r="H14" i="4"/>
  <c r="I14" i="4"/>
  <c r="J14" i="4"/>
  <c r="K14" i="4"/>
  <c r="C2" i="4"/>
  <c r="C2" i="1"/>
  <c r="J23" i="1"/>
  <c r="J25" i="1" s="1"/>
  <c r="E19" i="1"/>
  <c r="F19" i="1"/>
  <c r="G19" i="1"/>
  <c r="H19" i="1"/>
  <c r="I19" i="1"/>
  <c r="J19" i="1"/>
  <c r="K19" i="1"/>
  <c r="D19" i="1"/>
  <c r="E17" i="1"/>
  <c r="F17" i="1"/>
  <c r="G17" i="1"/>
  <c r="H17" i="1"/>
  <c r="I17" i="1"/>
  <c r="J17" i="1"/>
  <c r="K17" i="1"/>
  <c r="D17" i="1"/>
  <c r="E12" i="1"/>
  <c r="F12" i="1"/>
  <c r="G12" i="1"/>
  <c r="H12" i="1"/>
  <c r="I12" i="1"/>
  <c r="J12" i="1"/>
  <c r="K12" i="1"/>
  <c r="D12" i="1"/>
  <c r="L4" i="1"/>
  <c r="L6" i="1"/>
  <c r="L5" i="1"/>
  <c r="L3" i="1"/>
  <c r="L17" i="4" l="1"/>
  <c r="K23" i="1"/>
  <c r="K25" i="1" s="1"/>
  <c r="G23" i="1"/>
  <c r="G25" i="1" s="1"/>
  <c r="D19" i="4"/>
  <c r="D21" i="4" s="1"/>
  <c r="H23" i="1"/>
  <c r="H25" i="1" s="1"/>
  <c r="D23" i="1"/>
  <c r="D25" i="1" s="1"/>
  <c r="R4" i="4"/>
  <c r="R3" i="4"/>
  <c r="R2" i="4"/>
  <c r="D7" i="4" l="1"/>
</calcChain>
</file>

<file path=xl/sharedStrings.xml><?xml version="1.0" encoding="utf-8"?>
<sst xmlns="http://schemas.openxmlformats.org/spreadsheetml/2006/main" count="112" uniqueCount="70">
  <si>
    <t>a</t>
  </si>
  <si>
    <t>b</t>
  </si>
  <si>
    <t>c</t>
  </si>
  <si>
    <t>e</t>
  </si>
  <si>
    <t>f</t>
  </si>
  <si>
    <t>g</t>
  </si>
  <si>
    <t>h</t>
  </si>
  <si>
    <t>i</t>
  </si>
  <si>
    <t>l</t>
  </si>
  <si>
    <t>m</t>
  </si>
  <si>
    <t>n</t>
  </si>
  <si>
    <t>dB(A)</t>
  </si>
  <si>
    <t>o</t>
  </si>
  <si>
    <t>d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</si>
  <si>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</si>
  <si>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P.C. = Parametro Costante</t>
  </si>
  <si>
    <t>C.</t>
  </si>
  <si>
    <t>P.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</si>
  <si>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</t>
    </r>
  </si>
  <si>
    <t>mm C.A.</t>
  </si>
  <si>
    <t>DATI</t>
  </si>
  <si>
    <t>CALCOLO</t>
  </si>
  <si>
    <t>dB</t>
  </si>
  <si>
    <r>
      <t>d</t>
    </r>
    <r>
      <rPr>
        <vertAlign val="subscript"/>
        <sz val="11"/>
        <color theme="1"/>
        <rFont val="Calibri"/>
        <family val="2"/>
        <scheme val="minor"/>
      </rPr>
      <t>bis</t>
    </r>
  </si>
  <si>
    <r>
      <t>g</t>
    </r>
    <r>
      <rPr>
        <vertAlign val="subscript"/>
        <sz val="11"/>
        <color theme="1"/>
        <rFont val="Calibri"/>
        <family val="2"/>
        <scheme val="minor"/>
      </rPr>
      <t>bis</t>
    </r>
  </si>
  <si>
    <t>1/m</t>
  </si>
  <si>
    <t>Liv.SonTotale</t>
  </si>
  <si>
    <t>j</t>
  </si>
  <si>
    <t>air flow in the duct</t>
  </si>
  <si>
    <t>window distance</t>
  </si>
  <si>
    <t>equivalent diameter</t>
  </si>
  <si>
    <t>Ratio P/A duct  0,2x0,25</t>
  </si>
  <si>
    <t>equivalent diameter elbow</t>
  </si>
  <si>
    <t>total sound power - fan</t>
  </si>
  <si>
    <t xml:space="preserve"> dB</t>
  </si>
  <si>
    <t>Hz</t>
  </si>
  <si>
    <t>correction factor</t>
  </si>
  <si>
    <t>Lw fan</t>
  </si>
  <si>
    <t>Lw inlet site</t>
  </si>
  <si>
    <t>room volume</t>
  </si>
  <si>
    <t>air flow -fan</t>
  </si>
  <si>
    <t>pressure fan</t>
  </si>
  <si>
    <t>air flow duct</t>
  </si>
  <si>
    <t>ratio P/A duct  0,6x0,7</t>
  </si>
  <si>
    <t xml:space="preserve"> equivalent diamter elbow</t>
  </si>
  <si>
    <t>ratio P/A duct  0,2x0,25</t>
  </si>
  <si>
    <t>total sound power fan</t>
  </si>
  <si>
    <t>correction factors</t>
  </si>
  <si>
    <t>Lw inlet site fan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</si>
  <si>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Lw/m duct 0.6 x 0.7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</si>
  <si>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in 9 m duct  0.6 x 0.7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</si>
  <si>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elbow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</si>
  <si>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subdivision of dcuts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</si>
  <si>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Lw/m duct 0.2 x 0.25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</si>
  <si>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in 6 m duct 0.2 x 0.25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</si>
  <si>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final refrection</t>
    </r>
  </si>
  <si>
    <t>Lw in the room entrance</t>
  </si>
  <si>
    <t>Lp in the room</t>
  </si>
  <si>
    <t>filter A</t>
  </si>
  <si>
    <t>Lp in the room in dB(A)</t>
  </si>
  <si>
    <t>total sound pressure level in the room</t>
  </si>
  <si>
    <t xml:space="preserve">SQRT(S)*f per 0,8x0,8 </t>
  </si>
  <si>
    <t>directivity factor Q  45°</t>
  </si>
  <si>
    <t>directivity index DI</t>
  </si>
  <si>
    <t>Lp  on the window</t>
  </si>
  <si>
    <t>Criterium NR40</t>
  </si>
  <si>
    <t>attenuation requested</t>
  </si>
  <si>
    <t>sicurity factor</t>
  </si>
  <si>
    <t>attenuation filter</t>
  </si>
  <si>
    <t>distance sourse receiver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</si>
</sst>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/>
    </xf>
    <xf numFmtId="3" fontId="0" fillId="0" borderId="1" xfId="0" applyNumberFormat="1" applyBorder="1"/>
    <xf numFmtId="0" fontId="5" fillId="0" borderId="0" xfId="0" applyFont="1"/>
    <xf numFmtId="1" fontId="0" fillId="0" borderId="1" xfId="0" applyNumberFormat="1" applyBorder="1"/>
    <xf numFmtId="0" fontId="0" fillId="0" borderId="1" xfId="0" applyFill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11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0" fillId="0" borderId="0" xfId="0" applyBorder="1"/>
    <xf numFmtId="0" fontId="0" fillId="0" borderId="18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5" xfId="0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0" fillId="0" borderId="12" xfId="0" quotePrefix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wrapText="1"/>
    </xf>
    <xf numFmtId="164" fontId="4" fillId="0" borderId="1" xfId="0" applyNumberFormat="1" applyFont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6"/>
  <sheetViews>
    <sheetView topLeftCell="A4" workbookViewId="0">
      <selection activeCell="D13" sqref="D13:K13"/>
    </sheetView>
  </sheetViews>
  <sheetFormatPr defaultRowHeight="15" x14ac:dyDescent="0.25"/>
  <cols>
    <col min="1" max="1" width="6.28515625" customWidth="1"/>
    <col min="2" max="2" width="26.85546875" customWidth="1"/>
    <col min="3" max="3" width="4.42578125" customWidth="1"/>
    <col min="11" max="11" width="17.5703125" customWidth="1"/>
  </cols>
  <sheetData>
    <row r="1" spans="1:13" ht="14.45" x14ac:dyDescent="0.3">
      <c r="A1" s="32" t="s">
        <v>20</v>
      </c>
    </row>
    <row r="2" spans="1:13" ht="16.149999999999999" x14ac:dyDescent="0.3">
      <c r="B2" t="s">
        <v>39</v>
      </c>
      <c r="C2" s="29">
        <f>8*6*3</f>
        <v>144</v>
      </c>
      <c r="D2" t="s">
        <v>14</v>
      </c>
      <c r="E2" t="s">
        <v>40</v>
      </c>
      <c r="G2" s="31">
        <v>8500</v>
      </c>
      <c r="H2" t="s">
        <v>18</v>
      </c>
      <c r="I2" t="s">
        <v>42</v>
      </c>
      <c r="L2" s="29">
        <v>800</v>
      </c>
      <c r="M2" t="s">
        <v>18</v>
      </c>
    </row>
    <row r="3" spans="1:13" ht="14.45" x14ac:dyDescent="0.3">
      <c r="B3" t="s">
        <v>69</v>
      </c>
      <c r="C3" s="29">
        <f>2.5</f>
        <v>2.5</v>
      </c>
      <c r="D3" t="s">
        <v>9</v>
      </c>
      <c r="E3" t="s">
        <v>41</v>
      </c>
      <c r="G3" s="29">
        <v>40</v>
      </c>
      <c r="H3" t="s">
        <v>19</v>
      </c>
      <c r="I3" t="s">
        <v>43</v>
      </c>
      <c r="L3" s="38">
        <f>(2*0.6+2*0.7)/(0.6*0.7)</f>
        <v>6.1904761904761898</v>
      </c>
      <c r="M3" t="s">
        <v>25</v>
      </c>
    </row>
    <row r="4" spans="1:13" ht="14.45" x14ac:dyDescent="0.3">
      <c r="C4" s="39"/>
      <c r="G4" s="39"/>
      <c r="I4" t="s">
        <v>44</v>
      </c>
      <c r="L4" s="38">
        <f>2*SQRT((0.7*0.6)/3.14)</f>
        <v>0.73145871184487099</v>
      </c>
      <c r="M4" t="s">
        <v>9</v>
      </c>
    </row>
    <row r="5" spans="1:13" ht="14.45" x14ac:dyDescent="0.3">
      <c r="I5" t="s">
        <v>45</v>
      </c>
      <c r="L5" s="29">
        <f>(2*0.2+2*0.25)/(0.2*0.25)</f>
        <v>18</v>
      </c>
      <c r="M5" t="s">
        <v>25</v>
      </c>
    </row>
    <row r="6" spans="1:13" ht="14.45" x14ac:dyDescent="0.3">
      <c r="A6" s="32" t="s">
        <v>21</v>
      </c>
      <c r="I6" t="s">
        <v>44</v>
      </c>
      <c r="L6" s="38">
        <f>2*SQRT((0.2*0.25)/3.14)</f>
        <v>0.25237723256253436</v>
      </c>
      <c r="M6" t="s">
        <v>9</v>
      </c>
    </row>
    <row r="7" spans="1:13" ht="14.45" x14ac:dyDescent="0.3">
      <c r="A7" s="32"/>
      <c r="B7" t="s">
        <v>46</v>
      </c>
      <c r="D7" s="33">
        <v>112</v>
      </c>
      <c r="E7" t="s">
        <v>22</v>
      </c>
    </row>
    <row r="8" spans="1:13" ht="14.45" x14ac:dyDescent="0.3">
      <c r="C8" t="s">
        <v>15</v>
      </c>
    </row>
    <row r="9" spans="1:13" ht="14.45" x14ac:dyDescent="0.3">
      <c r="A9" s="8"/>
      <c r="B9" s="9"/>
      <c r="C9" s="22" t="s">
        <v>17</v>
      </c>
      <c r="D9" s="5"/>
      <c r="E9" s="6"/>
      <c r="F9" s="6" t="s">
        <v>35</v>
      </c>
      <c r="G9" s="6"/>
      <c r="H9" s="6"/>
      <c r="I9" s="6"/>
      <c r="J9" s="6"/>
      <c r="K9" s="7"/>
    </row>
    <row r="10" spans="1:13" x14ac:dyDescent="0.25">
      <c r="A10" s="10"/>
      <c r="B10" s="11" t="s">
        <v>22</v>
      </c>
      <c r="C10" s="23" t="s">
        <v>16</v>
      </c>
      <c r="D10" s="3">
        <v>63</v>
      </c>
      <c r="E10" s="3">
        <v>125</v>
      </c>
      <c r="F10" s="3">
        <v>250</v>
      </c>
      <c r="G10" s="3">
        <v>500</v>
      </c>
      <c r="H10" s="3">
        <v>1000</v>
      </c>
      <c r="I10" s="3">
        <v>2000</v>
      </c>
      <c r="J10" s="3">
        <v>4000</v>
      </c>
      <c r="K10" s="34">
        <v>8000</v>
      </c>
    </row>
    <row r="11" spans="1:13" ht="15.75" x14ac:dyDescent="0.25">
      <c r="A11" s="3" t="s">
        <v>0</v>
      </c>
      <c r="B11" s="11" t="s">
        <v>47</v>
      </c>
      <c r="C11" s="23"/>
      <c r="D11" s="54">
        <v>-2</v>
      </c>
      <c r="E11" s="54">
        <v>-6</v>
      </c>
      <c r="F11" s="54">
        <v>-13</v>
      </c>
      <c r="G11" s="54">
        <v>-18</v>
      </c>
      <c r="H11" s="54">
        <v>-19</v>
      </c>
      <c r="I11" s="54">
        <v>-22</v>
      </c>
      <c r="J11" s="54">
        <v>-25</v>
      </c>
      <c r="K11" s="54">
        <v>-30</v>
      </c>
    </row>
    <row r="12" spans="1:13" ht="15.75" x14ac:dyDescent="0.25">
      <c r="A12" s="3" t="s">
        <v>1</v>
      </c>
      <c r="B12" s="4" t="s">
        <v>37</v>
      </c>
      <c r="C12" s="27"/>
      <c r="D12" s="55">
        <f>41 + 10*LOG10(pfi) + 20*LOG10(pressure_fan)</f>
        <v>112.33538908370218</v>
      </c>
      <c r="E12" s="55">
        <f>41 + 10*LOG10(pfi) + 20*LOG10(pressure_fan)</f>
        <v>112.33538908370218</v>
      </c>
      <c r="F12" s="55">
        <f>41 + 10*LOG10(pfi) + 20*LOG10(pressure_fan)</f>
        <v>112.33538908370218</v>
      </c>
      <c r="G12" s="55">
        <f>41 + 10*LOG10(pfi) + 20*LOG10(pressure_fan)</f>
        <v>112.33538908370218</v>
      </c>
      <c r="H12" s="55">
        <f>41 + 10*LOG10(pfi) + 20*LOG10(pressure_fan)</f>
        <v>112.33538908370218</v>
      </c>
      <c r="I12" s="55">
        <f>41 + 10*LOG10(pfi) + 20*LOG10(pressure_fan)</f>
        <v>112.33538908370218</v>
      </c>
      <c r="J12" s="55">
        <f>41 + 10*LOG10(pfi) + 20*LOG10(pressure_fan)</f>
        <v>112.33538908370218</v>
      </c>
      <c r="K12" s="55">
        <f>41 + 10*LOG10(pfi) + 20*LOG10(pressure_fan)</f>
        <v>112.33538908370218</v>
      </c>
    </row>
    <row r="13" spans="1:13" ht="15.75" x14ac:dyDescent="0.25">
      <c r="A13" s="3" t="s">
        <v>2</v>
      </c>
      <c r="B13" s="4" t="s">
        <v>48</v>
      </c>
      <c r="C13" s="24"/>
      <c r="D13" s="55">
        <f>D12+D11 -3</f>
        <v>107.33538908370218</v>
      </c>
      <c r="E13" s="55">
        <f t="shared" ref="E13:K13" si="0">E12+E11 -3</f>
        <v>103.33538908370218</v>
      </c>
      <c r="F13" s="55">
        <f t="shared" si="0"/>
        <v>96.335389083702182</v>
      </c>
      <c r="G13" s="55">
        <f t="shared" si="0"/>
        <v>91.335389083702182</v>
      </c>
      <c r="H13" s="55">
        <f t="shared" si="0"/>
        <v>90.335389083702182</v>
      </c>
      <c r="I13" s="55">
        <f t="shared" si="0"/>
        <v>87.335389083702182</v>
      </c>
      <c r="J13" s="55">
        <f t="shared" si="0"/>
        <v>84.335389083702182</v>
      </c>
      <c r="K13" s="55">
        <f t="shared" si="0"/>
        <v>79.335389083702182</v>
      </c>
    </row>
    <row r="14" spans="1:13" ht="15.75" x14ac:dyDescent="0.25">
      <c r="A14" s="17" t="s">
        <v>13</v>
      </c>
      <c r="B14" s="4" t="s">
        <v>49</v>
      </c>
      <c r="C14" s="27"/>
      <c r="D14" s="56">
        <v>0.9</v>
      </c>
      <c r="E14" s="56">
        <v>0.3</v>
      </c>
      <c r="F14" s="56">
        <v>0.3</v>
      </c>
      <c r="G14" s="56">
        <v>0.3</v>
      </c>
      <c r="H14" s="56">
        <v>0.3</v>
      </c>
      <c r="I14" s="56">
        <v>0.3</v>
      </c>
      <c r="J14" s="56">
        <v>0.3</v>
      </c>
      <c r="K14" s="56">
        <v>0.3</v>
      </c>
    </row>
    <row r="15" spans="1:13" ht="18" x14ac:dyDescent="0.35">
      <c r="A15" s="3" t="s">
        <v>23</v>
      </c>
      <c r="B15" s="4" t="s">
        <v>50</v>
      </c>
      <c r="C15" s="24"/>
      <c r="D15" s="56">
        <f>-9*D14</f>
        <v>-8.1</v>
      </c>
      <c r="E15" s="56">
        <f t="shared" ref="E15:K15" si="1">-9*E14</f>
        <v>-2.6999999999999997</v>
      </c>
      <c r="F15" s="56">
        <f t="shared" si="1"/>
        <v>-2.6999999999999997</v>
      </c>
      <c r="G15" s="56">
        <f t="shared" si="1"/>
        <v>-2.6999999999999997</v>
      </c>
      <c r="H15" s="56">
        <f t="shared" si="1"/>
        <v>-2.6999999999999997</v>
      </c>
      <c r="I15" s="56">
        <f t="shared" si="1"/>
        <v>-2.6999999999999997</v>
      </c>
      <c r="J15" s="56">
        <f t="shared" si="1"/>
        <v>-2.6999999999999997</v>
      </c>
      <c r="K15" s="56">
        <f t="shared" si="1"/>
        <v>-2.6999999999999997</v>
      </c>
    </row>
    <row r="16" spans="1:13" ht="15.75" x14ac:dyDescent="0.25">
      <c r="A16" s="3" t="s">
        <v>3</v>
      </c>
      <c r="B16" s="4" t="s">
        <v>51</v>
      </c>
      <c r="C16" s="27"/>
      <c r="D16" s="54">
        <f>-1*1</f>
        <v>-1</v>
      </c>
      <c r="E16" s="54">
        <v>-3</v>
      </c>
      <c r="F16" s="54">
        <v>-6</v>
      </c>
      <c r="G16" s="54">
        <v>7</v>
      </c>
      <c r="H16" s="54">
        <v>4</v>
      </c>
      <c r="I16" s="54">
        <v>3</v>
      </c>
      <c r="J16" s="54">
        <v>3</v>
      </c>
      <c r="K16" s="54">
        <v>3</v>
      </c>
    </row>
    <row r="17" spans="1:11" ht="15.75" x14ac:dyDescent="0.25">
      <c r="A17" s="3" t="s">
        <v>4</v>
      </c>
      <c r="B17" s="4" t="s">
        <v>52</v>
      </c>
      <c r="C17" s="27"/>
      <c r="D17" s="57">
        <f xml:space="preserve"> 10*LOG10(flow_out/pfi)</f>
        <v>-10.263289387223491</v>
      </c>
      <c r="E17" s="57">
        <f xml:space="preserve"> 10*LOG10(flow_out/pfi)</f>
        <v>-10.263289387223491</v>
      </c>
      <c r="F17" s="57">
        <f xml:space="preserve"> 10*LOG10(flow_out/pfi)</f>
        <v>-10.263289387223491</v>
      </c>
      <c r="G17" s="57">
        <f xml:space="preserve"> 10*LOG10(flow_out/pfi)</f>
        <v>-10.263289387223491</v>
      </c>
      <c r="H17" s="57">
        <f xml:space="preserve"> 10*LOG10(flow_out/pfi)</f>
        <v>-10.263289387223491</v>
      </c>
      <c r="I17" s="57">
        <f xml:space="preserve"> 10*LOG10(flow_out/pfi)</f>
        <v>-10.263289387223491</v>
      </c>
      <c r="J17" s="57">
        <f xml:space="preserve"> 10*LOG10(flow_out/pfi)</f>
        <v>-10.263289387223491</v>
      </c>
      <c r="K17" s="57">
        <f xml:space="preserve"> 10*LOG10(flow_out/pfi)</f>
        <v>-10.263289387223491</v>
      </c>
    </row>
    <row r="18" spans="1:11" ht="15.75" x14ac:dyDescent="0.25">
      <c r="A18" s="18" t="s">
        <v>5</v>
      </c>
      <c r="B18" s="4" t="s">
        <v>53</v>
      </c>
      <c r="C18" s="27"/>
      <c r="D18" s="56">
        <v>0</v>
      </c>
      <c r="E18" s="56">
        <v>0.9</v>
      </c>
      <c r="F18" s="56">
        <v>0.3</v>
      </c>
      <c r="G18" s="56">
        <v>0.3</v>
      </c>
      <c r="H18" s="56">
        <v>0.3</v>
      </c>
      <c r="I18" s="56">
        <v>0.3</v>
      </c>
      <c r="J18" s="56">
        <v>0.3</v>
      </c>
      <c r="K18" s="56">
        <v>0.3</v>
      </c>
    </row>
    <row r="19" spans="1:11" ht="18" x14ac:dyDescent="0.35">
      <c r="A19" s="18" t="s">
        <v>24</v>
      </c>
      <c r="B19" s="4" t="s">
        <v>54</v>
      </c>
      <c r="C19" s="24"/>
      <c r="D19" s="56">
        <f>6*D18</f>
        <v>0</v>
      </c>
      <c r="E19" s="56">
        <f t="shared" ref="E19:K19" si="2">6*E18</f>
        <v>5.4</v>
      </c>
      <c r="F19" s="56">
        <f t="shared" si="2"/>
        <v>1.7999999999999998</v>
      </c>
      <c r="G19" s="56">
        <f t="shared" si="2"/>
        <v>1.7999999999999998</v>
      </c>
      <c r="H19" s="56">
        <f t="shared" si="2"/>
        <v>1.7999999999999998</v>
      </c>
      <c r="I19" s="56">
        <f t="shared" si="2"/>
        <v>1.7999999999999998</v>
      </c>
      <c r="J19" s="56">
        <f t="shared" si="2"/>
        <v>1.7999999999999998</v>
      </c>
      <c r="K19" s="56">
        <f t="shared" si="2"/>
        <v>1.7999999999999998</v>
      </c>
    </row>
    <row r="20" spans="1:11" ht="15.75" x14ac:dyDescent="0.25">
      <c r="A20" s="3" t="s">
        <v>6</v>
      </c>
      <c r="B20" s="4" t="s">
        <v>51</v>
      </c>
      <c r="C20" s="27"/>
      <c r="D20" s="54">
        <v>0</v>
      </c>
      <c r="E20" s="54">
        <v>0</v>
      </c>
      <c r="F20" s="54">
        <v>-1</v>
      </c>
      <c r="G20" s="54">
        <v>-4</v>
      </c>
      <c r="H20" s="54">
        <v>-6</v>
      </c>
      <c r="I20" s="54">
        <v>-6</v>
      </c>
      <c r="J20" s="54">
        <v>-4</v>
      </c>
      <c r="K20" s="54">
        <v>3</v>
      </c>
    </row>
    <row r="21" spans="1:11" ht="15.75" x14ac:dyDescent="0.25">
      <c r="A21" s="3" t="s">
        <v>7</v>
      </c>
      <c r="B21" s="4" t="s">
        <v>55</v>
      </c>
      <c r="C21" s="27"/>
      <c r="D21" s="56">
        <v>0</v>
      </c>
      <c r="E21" s="56">
        <v>0</v>
      </c>
      <c r="F21" s="56">
        <v>0</v>
      </c>
      <c r="G21" s="56">
        <v>0</v>
      </c>
      <c r="H21" s="56">
        <v>0</v>
      </c>
      <c r="I21" s="56">
        <v>0</v>
      </c>
      <c r="J21" s="56">
        <v>0</v>
      </c>
      <c r="K21" s="56">
        <v>0</v>
      </c>
    </row>
    <row r="22" spans="1:11" ht="15.75" x14ac:dyDescent="0.25">
      <c r="A22" s="12" t="s">
        <v>8</v>
      </c>
      <c r="B22" s="4" t="s">
        <v>56</v>
      </c>
      <c r="C22" s="27"/>
      <c r="D22" s="57">
        <f>D11+D13+D15+D17</f>
        <v>86.972099696478693</v>
      </c>
      <c r="E22" s="57">
        <f t="shared" ref="E22:K22" si="3">E11+E13+E15+E17</f>
        <v>84.372099696478685</v>
      </c>
      <c r="F22" s="57">
        <f t="shared" si="3"/>
        <v>70.372099696478685</v>
      </c>
      <c r="G22" s="57">
        <f t="shared" si="3"/>
        <v>60.372099696478685</v>
      </c>
      <c r="H22" s="57">
        <f t="shared" si="3"/>
        <v>58.372099696478685</v>
      </c>
      <c r="I22" s="57">
        <f t="shared" si="3"/>
        <v>52.372099696478685</v>
      </c>
      <c r="J22" s="57">
        <f t="shared" si="3"/>
        <v>46.372099696478685</v>
      </c>
      <c r="K22" s="57">
        <f t="shared" si="3"/>
        <v>36.372099696478685</v>
      </c>
    </row>
    <row r="23" spans="1:11" ht="16.5" thickBot="1" x14ac:dyDescent="0.3">
      <c r="A23" s="12" t="s">
        <v>9</v>
      </c>
      <c r="B23" s="13" t="s">
        <v>57</v>
      </c>
      <c r="C23" s="28"/>
      <c r="D23" s="58">
        <f>D22-5*LOG10(vol) - 3*LOG10(D10) - 10*LOG10(2.5) + 12</f>
        <v>78.802865500921328</v>
      </c>
      <c r="E23" s="58">
        <f>E22-5*LOG10(vol) - 3*LOG10(E10) - 10*LOG10(2.5) + 12</f>
        <v>75.31015711025789</v>
      </c>
      <c r="F23" s="58">
        <f>F22-5*LOG10(vol) - 3*LOG10(F10) - 10*LOG10(2.5) + 12</f>
        <v>60.407067123265946</v>
      </c>
      <c r="G23" s="58">
        <f>G22-5*LOG10(vol) - 3*LOG10(G10) - 10*LOG10(2.5) + 12</f>
        <v>49.503977136274003</v>
      </c>
      <c r="H23" s="58">
        <f>H22-5*LOG10(vol) - 3*LOG10(H10) - 10*LOG10(2.5) + 12</f>
        <v>46.600887149282059</v>
      </c>
      <c r="I23" s="58">
        <f>I22-5*LOG10(vol) - 3*LOG10(I10) - 10*LOG10(2.5) + 12</f>
        <v>39.697797162290115</v>
      </c>
      <c r="J23" s="58">
        <f>J22-5*LOG10(vol) - 3*LOG10(J10) - 10*LOG10(2.5) + 12</f>
        <v>32.794707175298171</v>
      </c>
      <c r="K23" s="58">
        <f>K22-5*LOG10(vol) - 3*LOG10(K10) - 10*LOG10(2.5) + 12</f>
        <v>21.891617188306228</v>
      </c>
    </row>
    <row r="24" spans="1:11" ht="16.5" thickBot="1" x14ac:dyDescent="0.3">
      <c r="A24" s="36" t="s">
        <v>10</v>
      </c>
      <c r="B24" s="35" t="s">
        <v>58</v>
      </c>
      <c r="C24" s="25"/>
      <c r="D24" s="59">
        <v>-26.2</v>
      </c>
      <c r="E24" s="59">
        <v>-16.100000000000001</v>
      </c>
      <c r="F24" s="59">
        <v>-8.6</v>
      </c>
      <c r="G24" s="59">
        <v>-3.2</v>
      </c>
      <c r="H24" s="59">
        <v>0</v>
      </c>
      <c r="I24" s="60">
        <v>1.2</v>
      </c>
      <c r="J24" s="59">
        <v>1</v>
      </c>
      <c r="K24" s="61">
        <v>-1.1000000000000001</v>
      </c>
    </row>
    <row r="25" spans="1:11" ht="15.75" x14ac:dyDescent="0.25">
      <c r="A25" s="15" t="s">
        <v>12</v>
      </c>
      <c r="B25" s="16" t="s">
        <v>59</v>
      </c>
      <c r="C25" s="26"/>
      <c r="D25" s="62">
        <f>D24 +D23</f>
        <v>52.602865500921325</v>
      </c>
      <c r="E25" s="62">
        <f t="shared" ref="E25:K25" si="4">E24 +E23</f>
        <v>59.210157110257889</v>
      </c>
      <c r="F25" s="62">
        <f t="shared" si="4"/>
        <v>51.807067123265945</v>
      </c>
      <c r="G25" s="62">
        <f t="shared" si="4"/>
        <v>46.303977136274</v>
      </c>
      <c r="H25" s="62">
        <f t="shared" si="4"/>
        <v>46.600887149282059</v>
      </c>
      <c r="I25" s="62">
        <f t="shared" si="4"/>
        <v>40.897797162290118</v>
      </c>
      <c r="J25" s="62">
        <f t="shared" si="4"/>
        <v>33.794707175298171</v>
      </c>
      <c r="K25" s="62">
        <f t="shared" si="4"/>
        <v>20.791617188306226</v>
      </c>
    </row>
    <row r="26" spans="1:11" x14ac:dyDescent="0.25">
      <c r="A26" s="1"/>
      <c r="B26" s="30" t="s">
        <v>60</v>
      </c>
      <c r="C26" s="2"/>
      <c r="D26" s="21"/>
      <c r="E26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3"/>
  <sheetViews>
    <sheetView tabSelected="1" topLeftCell="A4" workbookViewId="0">
      <selection activeCell="L18" sqref="L18:L21"/>
    </sheetView>
  </sheetViews>
  <sheetFormatPr defaultRowHeight="15" x14ac:dyDescent="0.25"/>
  <cols>
    <col min="1" max="1" width="6.28515625" customWidth="1"/>
    <col min="2" max="2" width="49.140625" customWidth="1"/>
    <col min="3" max="3" width="4.42578125" customWidth="1"/>
  </cols>
  <sheetData>
    <row r="1" spans="1:19" x14ac:dyDescent="0.25">
      <c r="A1" s="32" t="s">
        <v>20</v>
      </c>
    </row>
    <row r="2" spans="1:19" ht="17.25" x14ac:dyDescent="0.25">
      <c r="B2" t="s">
        <v>39</v>
      </c>
      <c r="C2" s="29">
        <f>8*6*3</f>
        <v>144</v>
      </c>
      <c r="D2" t="s">
        <v>14</v>
      </c>
      <c r="E2" t="s">
        <v>40</v>
      </c>
      <c r="G2" s="31">
        <v>8500</v>
      </c>
      <c r="H2" t="s">
        <v>18</v>
      </c>
      <c r="I2" t="s">
        <v>28</v>
      </c>
      <c r="L2" s="29">
        <v>800</v>
      </c>
      <c r="M2" t="s">
        <v>18</v>
      </c>
      <c r="O2" t="s">
        <v>30</v>
      </c>
      <c r="R2" s="38">
        <f>SQRT(4*0.6*0.7/3.14)</f>
        <v>0.73145871184487099</v>
      </c>
      <c r="S2" t="s">
        <v>9</v>
      </c>
    </row>
    <row r="3" spans="1:19" x14ac:dyDescent="0.25">
      <c r="B3" t="s">
        <v>69</v>
      </c>
      <c r="C3" s="29">
        <v>2.5</v>
      </c>
      <c r="D3" t="s">
        <v>9</v>
      </c>
      <c r="E3" t="s">
        <v>41</v>
      </c>
      <c r="G3" s="29">
        <v>40</v>
      </c>
      <c r="H3" t="s">
        <v>19</v>
      </c>
      <c r="I3" t="s">
        <v>29</v>
      </c>
      <c r="L3" s="38">
        <v>12</v>
      </c>
      <c r="M3" t="s">
        <v>9</v>
      </c>
      <c r="O3" t="s">
        <v>31</v>
      </c>
      <c r="R3" s="29">
        <f>2*0.45/(0.2*0.25)</f>
        <v>18</v>
      </c>
      <c r="S3" t="s">
        <v>25</v>
      </c>
    </row>
    <row r="4" spans="1:19" x14ac:dyDescent="0.25">
      <c r="C4" s="39"/>
      <c r="G4" s="39"/>
      <c r="O4" t="s">
        <v>32</v>
      </c>
      <c r="R4" s="38">
        <f>SQRT(4*0.2*0.25/3.14)</f>
        <v>0.25237723256253436</v>
      </c>
      <c r="S4" t="s">
        <v>9</v>
      </c>
    </row>
    <row r="6" spans="1:19" x14ac:dyDescent="0.25">
      <c r="A6" s="32" t="s">
        <v>21</v>
      </c>
    </row>
    <row r="7" spans="1:19" x14ac:dyDescent="0.25">
      <c r="A7" s="32"/>
      <c r="B7" t="s">
        <v>33</v>
      </c>
      <c r="D7" s="33">
        <f>41+10*LOG10(G2)+20*LOG10(G3)</f>
        <v>112.33538908370218</v>
      </c>
      <c r="E7" t="s">
        <v>22</v>
      </c>
    </row>
    <row r="8" spans="1:19" x14ac:dyDescent="0.25">
      <c r="C8" t="s">
        <v>15</v>
      </c>
    </row>
    <row r="9" spans="1:19" x14ac:dyDescent="0.25">
      <c r="A9" s="8"/>
      <c r="B9" s="9"/>
      <c r="C9" s="22" t="s">
        <v>17</v>
      </c>
      <c r="D9" s="5"/>
      <c r="E9" s="6"/>
      <c r="F9" s="6" t="s">
        <v>35</v>
      </c>
      <c r="G9" s="6"/>
      <c r="H9" s="6"/>
      <c r="I9" s="6"/>
      <c r="J9" s="6"/>
      <c r="K9" s="7"/>
    </row>
    <row r="10" spans="1:19" x14ac:dyDescent="0.25">
      <c r="A10" s="10"/>
      <c r="B10" s="11" t="s">
        <v>34</v>
      </c>
      <c r="C10" s="23" t="s">
        <v>16</v>
      </c>
      <c r="D10" s="3">
        <v>63</v>
      </c>
      <c r="E10" s="3">
        <v>125</v>
      </c>
      <c r="F10" s="3">
        <v>250</v>
      </c>
      <c r="G10" s="3">
        <v>500</v>
      </c>
      <c r="H10" s="3">
        <v>1000</v>
      </c>
      <c r="I10" s="3">
        <v>2000</v>
      </c>
      <c r="J10" s="3">
        <v>4000</v>
      </c>
      <c r="K10" s="34">
        <v>8000</v>
      </c>
    </row>
    <row r="11" spans="1:19" ht="15.75" x14ac:dyDescent="0.25">
      <c r="A11" s="3" t="s">
        <v>0</v>
      </c>
      <c r="B11" s="11" t="s">
        <v>36</v>
      </c>
      <c r="C11" s="52"/>
      <c r="D11" s="54">
        <v>-2</v>
      </c>
      <c r="E11" s="54">
        <v>-6</v>
      </c>
      <c r="F11" s="54">
        <v>-13</v>
      </c>
      <c r="G11" s="54">
        <v>-18</v>
      </c>
      <c r="H11" s="54">
        <v>-19</v>
      </c>
      <c r="I11" s="54">
        <v>-22</v>
      </c>
      <c r="J11" s="54">
        <v>-25</v>
      </c>
      <c r="K11" s="54">
        <v>-30</v>
      </c>
    </row>
    <row r="12" spans="1:19" x14ac:dyDescent="0.25">
      <c r="A12" s="3" t="s">
        <v>1</v>
      </c>
      <c r="B12" s="4" t="s">
        <v>37</v>
      </c>
      <c r="C12" s="27"/>
      <c r="D12" s="37">
        <v>112.33538908370218</v>
      </c>
      <c r="E12" s="37">
        <v>112.33538908370218</v>
      </c>
      <c r="F12" s="37">
        <v>112.33538908370218</v>
      </c>
      <c r="G12" s="37">
        <v>112.33538908370218</v>
      </c>
      <c r="H12" s="37">
        <v>112.33538908370218</v>
      </c>
      <c r="I12" s="37">
        <v>112.33538908370218</v>
      </c>
      <c r="J12" s="37">
        <v>112.33538908370218</v>
      </c>
      <c r="K12" s="37">
        <v>112.33538908370218</v>
      </c>
    </row>
    <row r="13" spans="1:19" x14ac:dyDescent="0.25">
      <c r="A13" s="3" t="s">
        <v>2</v>
      </c>
      <c r="B13" s="4" t="s">
        <v>38</v>
      </c>
      <c r="C13" s="24"/>
      <c r="D13" s="37">
        <v>107.33538908370218</v>
      </c>
      <c r="E13" s="37">
        <v>103.33538908370218</v>
      </c>
      <c r="F13" s="37">
        <v>96.335389083702182</v>
      </c>
      <c r="G13" s="37">
        <v>91.335389083702182</v>
      </c>
      <c r="H13" s="37">
        <v>90.335389083702182</v>
      </c>
      <c r="I13" s="37">
        <v>87.335389083702182</v>
      </c>
      <c r="J13" s="37">
        <v>84.335389083702182</v>
      </c>
      <c r="K13" s="37">
        <v>79.335389083702182</v>
      </c>
    </row>
    <row r="14" spans="1:19" x14ac:dyDescent="0.25">
      <c r="A14" s="43" t="s">
        <v>13</v>
      </c>
      <c r="B14" s="4" t="s">
        <v>61</v>
      </c>
      <c r="C14" s="44"/>
      <c r="D14" s="37">
        <f>SQRT(0.8*0.8)*D10</f>
        <v>50.400000000000006</v>
      </c>
      <c r="E14" s="37">
        <f t="shared" ref="E14:K14" si="0">SQRT(0.8*0.8)*E10</f>
        <v>100</v>
      </c>
      <c r="F14" s="37">
        <f t="shared" si="0"/>
        <v>200</v>
      </c>
      <c r="G14" s="37">
        <f t="shared" si="0"/>
        <v>400</v>
      </c>
      <c r="H14" s="37">
        <f t="shared" si="0"/>
        <v>800</v>
      </c>
      <c r="I14" s="37">
        <f t="shared" si="0"/>
        <v>1600</v>
      </c>
      <c r="J14" s="37">
        <f t="shared" si="0"/>
        <v>3200</v>
      </c>
      <c r="K14" s="37">
        <f t="shared" si="0"/>
        <v>6400</v>
      </c>
    </row>
    <row r="15" spans="1:19" ht="18" x14ac:dyDescent="0.35">
      <c r="A15" s="3" t="s">
        <v>23</v>
      </c>
      <c r="B15" s="42" t="s">
        <v>62</v>
      </c>
      <c r="C15" s="27"/>
      <c r="D15" s="3">
        <v>2.1</v>
      </c>
      <c r="E15" s="3">
        <v>2.6</v>
      </c>
      <c r="F15" s="3">
        <v>3</v>
      </c>
      <c r="G15" s="3">
        <v>3.5</v>
      </c>
      <c r="H15" s="3">
        <v>3.7</v>
      </c>
      <c r="I15" s="3">
        <v>4</v>
      </c>
      <c r="J15" s="3">
        <v>4</v>
      </c>
      <c r="K15" s="3">
        <v>4</v>
      </c>
    </row>
    <row r="16" spans="1:19" x14ac:dyDescent="0.25">
      <c r="A16" s="3" t="s">
        <v>3</v>
      </c>
      <c r="B16" s="4" t="s">
        <v>63</v>
      </c>
      <c r="C16" s="27"/>
      <c r="D16" s="37">
        <f>10*LOG10(D15)</f>
        <v>3.222192947339193</v>
      </c>
      <c r="E16" s="37">
        <f t="shared" ref="E16:K16" si="1">10*LOG10(E15)</f>
        <v>4.1497334797081802</v>
      </c>
      <c r="F16" s="37">
        <f t="shared" si="1"/>
        <v>4.7712125471966242</v>
      </c>
      <c r="G16" s="37">
        <f t="shared" si="1"/>
        <v>5.4406804435027567</v>
      </c>
      <c r="H16" s="37">
        <f t="shared" si="1"/>
        <v>5.6820172406699498</v>
      </c>
      <c r="I16" s="37">
        <f t="shared" si="1"/>
        <v>6.0205999132796242</v>
      </c>
      <c r="J16" s="37">
        <f t="shared" si="1"/>
        <v>6.0205999132796242</v>
      </c>
      <c r="K16" s="37">
        <f t="shared" si="1"/>
        <v>6.0205999132796242</v>
      </c>
    </row>
    <row r="17" spans="1:14" ht="15.75" thickBot="1" x14ac:dyDescent="0.3">
      <c r="A17" s="12" t="s">
        <v>4</v>
      </c>
      <c r="B17" s="13" t="s">
        <v>64</v>
      </c>
      <c r="C17" s="28"/>
      <c r="D17" s="19">
        <f>D13-20*LOG10(12)-11+D16</f>
        <v>77.973957110088875</v>
      </c>
      <c r="E17" s="19">
        <f t="shared" ref="E17:K17" si="2">E13-20*LOG10(12)-11+E16</f>
        <v>74.901497642457855</v>
      </c>
      <c r="F17" s="19">
        <f t="shared" si="2"/>
        <v>68.522976709946306</v>
      </c>
      <c r="G17" s="19">
        <f t="shared" si="2"/>
        <v>64.192444606252437</v>
      </c>
      <c r="H17" s="19">
        <f t="shared" si="2"/>
        <v>63.43378140341963</v>
      </c>
      <c r="I17" s="19">
        <f t="shared" si="2"/>
        <v>60.772364076029305</v>
      </c>
      <c r="J17" s="19">
        <f t="shared" si="2"/>
        <v>57.772364076029305</v>
      </c>
      <c r="K17" s="19">
        <f t="shared" si="2"/>
        <v>52.772364076029305</v>
      </c>
      <c r="L17" s="51">
        <f>10*LOG10(10^(D17/10) + 10^(E17/10) + 10^(F17/10) + 10^(G17/10) + 10^(H17/10) + 10^(I17/10) + 10^(J17/10) + 10^(K17/10) )</f>
        <v>80.316604270754297</v>
      </c>
      <c r="M17" t="s">
        <v>22</v>
      </c>
      <c r="N17" s="30" t="s">
        <v>26</v>
      </c>
    </row>
    <row r="18" spans="1:14" ht="15.75" thickBot="1" x14ac:dyDescent="0.3">
      <c r="A18" s="36" t="s">
        <v>5</v>
      </c>
      <c r="B18" s="35" t="s">
        <v>65</v>
      </c>
      <c r="C18" s="53"/>
      <c r="D18" s="47">
        <v>67</v>
      </c>
      <c r="E18" s="14">
        <v>57</v>
      </c>
      <c r="F18" s="14">
        <v>49</v>
      </c>
      <c r="G18" s="14">
        <v>44</v>
      </c>
      <c r="H18" s="14">
        <v>40</v>
      </c>
      <c r="I18" s="40">
        <v>37</v>
      </c>
      <c r="J18" s="14">
        <v>35</v>
      </c>
      <c r="K18" s="41">
        <v>33</v>
      </c>
      <c r="L18" s="51">
        <f>10*LOG10(10^(D18/10) + 10^(E18/10) + 10^(F18/10) + 10^(G18/10) + 10^(H18/10) + 10^(I18/10) + 10^(J18/10) + 10^(K18/10) )</f>
        <v>67.511081762425704</v>
      </c>
      <c r="M18" t="s">
        <v>22</v>
      </c>
      <c r="N18" s="30" t="s">
        <v>26</v>
      </c>
    </row>
    <row r="19" spans="1:14" x14ac:dyDescent="0.25">
      <c r="A19" s="15" t="s">
        <v>6</v>
      </c>
      <c r="B19" s="16" t="s">
        <v>66</v>
      </c>
      <c r="C19" s="26"/>
      <c r="D19" s="20">
        <f>D17-D18</f>
        <v>10.973957110088875</v>
      </c>
      <c r="E19" s="20">
        <f t="shared" ref="E19:K19" si="3">E17-E18</f>
        <v>17.901497642457855</v>
      </c>
      <c r="F19" s="20">
        <f t="shared" si="3"/>
        <v>19.522976709946306</v>
      </c>
      <c r="G19" s="20">
        <f t="shared" si="3"/>
        <v>20.192444606252437</v>
      </c>
      <c r="H19" s="20">
        <f t="shared" si="3"/>
        <v>23.43378140341963</v>
      </c>
      <c r="I19" s="20">
        <f t="shared" si="3"/>
        <v>23.772364076029305</v>
      </c>
      <c r="J19" s="20">
        <f t="shared" si="3"/>
        <v>22.772364076029305</v>
      </c>
      <c r="K19" s="20">
        <f t="shared" si="3"/>
        <v>19.772364076029305</v>
      </c>
      <c r="L19" s="51">
        <f t="shared" ref="L19:L21" si="4">10*LOG10(10^(D19/10) + 10^(E19/10) + 10^(F19/10) + 10^(G19/10) + 10^(H19/10) + 10^(I19/10) + 10^(J19/10) + 10^(K19/10) )</f>
        <v>30.049231876257419</v>
      </c>
    </row>
    <row r="20" spans="1:14" x14ac:dyDescent="0.25">
      <c r="A20" s="3" t="s">
        <v>7</v>
      </c>
      <c r="B20" s="48" t="s">
        <v>67</v>
      </c>
      <c r="C20" s="4"/>
      <c r="D20" s="24">
        <v>3</v>
      </c>
      <c r="E20" s="24">
        <v>3</v>
      </c>
      <c r="F20" s="24">
        <v>3</v>
      </c>
      <c r="G20" s="24">
        <v>3</v>
      </c>
      <c r="H20" s="24">
        <v>3</v>
      </c>
      <c r="I20" s="24">
        <v>3</v>
      </c>
      <c r="J20" s="24">
        <v>3</v>
      </c>
      <c r="K20" s="24">
        <v>3</v>
      </c>
      <c r="L20" s="51">
        <f t="shared" si="4"/>
        <v>12.030899869919436</v>
      </c>
    </row>
    <row r="21" spans="1:14" x14ac:dyDescent="0.25">
      <c r="A21" s="49" t="s">
        <v>27</v>
      </c>
      <c r="B21" s="50" t="s">
        <v>68</v>
      </c>
      <c r="C21" s="24"/>
      <c r="D21" s="63">
        <f>D19+D20</f>
        <v>13.973957110088875</v>
      </c>
      <c r="E21" s="63">
        <f t="shared" ref="E21:K21" si="5">E19+E20</f>
        <v>20.901497642457855</v>
      </c>
      <c r="F21" s="63">
        <f t="shared" si="5"/>
        <v>22.522976709946306</v>
      </c>
      <c r="G21" s="63">
        <f t="shared" si="5"/>
        <v>23.192444606252437</v>
      </c>
      <c r="H21" s="63">
        <f t="shared" si="5"/>
        <v>26.43378140341963</v>
      </c>
      <c r="I21" s="63">
        <f t="shared" si="5"/>
        <v>26.772364076029305</v>
      </c>
      <c r="J21" s="63">
        <f t="shared" si="5"/>
        <v>25.772364076029305</v>
      </c>
      <c r="K21" s="63">
        <f t="shared" si="5"/>
        <v>22.772364076029305</v>
      </c>
      <c r="L21" s="51">
        <f t="shared" si="4"/>
        <v>33.049231876257423</v>
      </c>
    </row>
    <row r="22" spans="1:14" x14ac:dyDescent="0.25">
      <c r="D22" s="45"/>
      <c r="E22" s="45"/>
      <c r="F22" s="45"/>
      <c r="G22" s="45"/>
      <c r="H22" s="45"/>
      <c r="I22" s="45"/>
      <c r="J22" s="45"/>
    </row>
    <row r="23" spans="1:14" x14ac:dyDescent="0.25">
      <c r="D23" s="46"/>
      <c r="E23" s="46"/>
      <c r="F23" s="46"/>
      <c r="G23" s="46"/>
      <c r="H23" s="46"/>
      <c r="I23" s="46"/>
      <c r="J23" s="4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calculation 1</vt:lpstr>
      <vt:lpstr>calculation 2</vt:lpstr>
      <vt:lpstr>Sheet3</vt:lpstr>
      <vt:lpstr>flow_out</vt:lpstr>
      <vt:lpstr>pfi</vt:lpstr>
      <vt:lpstr>pressure_fan</vt:lpstr>
      <vt:lpstr>qfi</vt:lpstr>
      <vt:lpstr>vol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Mazzarella</dc:creator>
  <cp:lastModifiedBy>Alessio</cp:lastModifiedBy>
  <dcterms:created xsi:type="dcterms:W3CDTF">2013-01-22T17:02:11Z</dcterms:created>
  <dcterms:modified xsi:type="dcterms:W3CDTF">2020-10-30T11:14:56Z</dcterms:modified>
</cp:coreProperties>
</file>