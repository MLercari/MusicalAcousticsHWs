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4.xml" ContentType="application/vnd.openxmlformats-officedocument.drawing+xml"/>
  <Override PartName="/xl/embeddings/oleObject10.bin" ContentType="application/vnd.openxmlformats-officedocument.oleObject"/>
  <Override PartName="/xl/drawings/drawing5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5_design_room\"/>
    </mc:Choice>
  </mc:AlternateContent>
  <xr:revisionPtr revIDLastSave="0" documentId="13_ncr:1_{082CB69D-4124-427B-8A01-FDD59ACD4E54}" xr6:coauthVersionLast="46" xr6:coauthVersionMax="46" xr10:uidLastSave="{00000000-0000-0000-0000-000000000000}"/>
  <bookViews>
    <workbookView xWindow="-120" yWindow="-120" windowWidth="20730" windowHeight="11160" tabRatio="851" xr2:uid="{00000000-000D-0000-FFFF-FFFF00000000}"/>
  </bookViews>
  <sheets>
    <sheet name="DATA" sheetId="4" r:id="rId1"/>
    <sheet name="Floor" sheetId="12" r:id="rId2"/>
    <sheet name="Ceiling" sheetId="10" r:id="rId3"/>
    <sheet name="Facade Wall" sheetId="7" r:id="rId4"/>
    <sheet name="Window" sheetId="16" r:id="rId5"/>
    <sheet name="Door" sheetId="17" r:id="rId6"/>
    <sheet name="Facade (2)" sheetId="20" r:id="rId7"/>
    <sheet name="Full Facade" sheetId="19" r:id="rId8"/>
    <sheet name="Internal walls" sheetId="13" r:id="rId9"/>
    <sheet name="Joints" sheetId="1" r:id="rId10"/>
  </sheets>
  <functionGroups builtInGroupCount="19"/>
  <definedNames>
    <definedName name="cons">'Facade Wall'!$P$9</definedName>
    <definedName name="m_d">DATA!$C$25</definedName>
    <definedName name="m_s">Door!$B$13</definedName>
    <definedName name="md_1">Door!$E$4</definedName>
    <definedName name="md_2">Door!$E$6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7" l="1"/>
  <c r="D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10" i="17"/>
  <c r="K29" i="4"/>
  <c r="K28" i="4"/>
  <c r="G39" i="4"/>
  <c r="F39" i="4"/>
  <c r="E39" i="4"/>
  <c r="D39" i="4"/>
  <c r="G32" i="4"/>
  <c r="F32" i="4"/>
  <c r="E32" i="4"/>
  <c r="G31" i="4"/>
  <c r="F31" i="4"/>
  <c r="E31" i="4"/>
  <c r="D32" i="4"/>
  <c r="D31" i="4"/>
  <c r="G30" i="4"/>
  <c r="F30" i="4"/>
  <c r="E30" i="4"/>
  <c r="D30" i="4"/>
  <c r="B14" i="1"/>
  <c r="L23" i="1"/>
  <c r="L22" i="1"/>
  <c r="L11" i="1"/>
  <c r="L10" i="1"/>
  <c r="G25" i="4"/>
  <c r="E25" i="4"/>
  <c r="C25" i="4"/>
  <c r="F25" i="4" l="1"/>
  <c r="D25" i="4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X5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J5" i="17"/>
  <c r="E6" i="17"/>
  <c r="E5" i="17" l="1"/>
  <c r="E4" i="17"/>
  <c r="J4" i="17" s="1"/>
  <c r="O8" i="13"/>
  <c r="O6" i="13"/>
  <c r="O7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X2" i="17" l="1"/>
  <c r="X4" i="1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5" i="7"/>
  <c r="V16" i="7"/>
  <c r="V17" i="7"/>
  <c r="V18" i="7"/>
  <c r="V19" i="7"/>
  <c r="V20" i="7"/>
  <c r="V15" i="7"/>
  <c r="V14" i="7"/>
  <c r="V13" i="7"/>
  <c r="V12" i="7"/>
  <c r="V11" i="7"/>
  <c r="V10" i="7"/>
  <c r="V9" i="7"/>
  <c r="V8" i="7"/>
  <c r="V7" i="7"/>
  <c r="V5" i="7"/>
  <c r="V6" i="7"/>
  <c r="O6" i="7"/>
  <c r="O7" i="7"/>
  <c r="O8" i="7"/>
  <c r="O9" i="7"/>
  <c r="O10" i="7"/>
  <c r="O11" i="7"/>
  <c r="O5" i="7"/>
  <c r="N7" i="12" l="1"/>
  <c r="N8" i="12"/>
  <c r="N9" i="12"/>
  <c r="N10" i="12"/>
  <c r="N6" i="12"/>
  <c r="E29" i="4" l="1"/>
  <c r="F29" i="4"/>
  <c r="G29" i="4"/>
  <c r="D29" i="4"/>
  <c r="I4" i="19"/>
  <c r="E6" i="12"/>
  <c r="E7" i="12"/>
  <c r="E8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L5" i="1" s="1"/>
  <c r="E4" i="1"/>
  <c r="L4" i="1" s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L6" i="10" s="1"/>
  <c r="H7" i="10"/>
  <c r="H8" i="10"/>
  <c r="I8" i="10" s="1"/>
  <c r="H9" i="10"/>
  <c r="I9" i="10" s="1"/>
  <c r="H10" i="10"/>
  <c r="I10" i="10" s="1"/>
  <c r="H6" i="10"/>
  <c r="I6" i="10" s="1"/>
  <c r="I7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6" i="16"/>
  <c r="E10" i="10"/>
  <c r="E6" i="10"/>
  <c r="E11" i="16"/>
  <c r="E16" i="16"/>
  <c r="E14" i="16"/>
  <c r="D12" i="10"/>
  <c r="E8" i="7"/>
  <c r="E15" i="16"/>
  <c r="E5" i="16"/>
  <c r="E9" i="10"/>
  <c r="E10" i="12"/>
  <c r="E11" i="7"/>
  <c r="E8" i="10"/>
  <c r="E13" i="16"/>
  <c r="E9" i="12"/>
  <c r="E10" i="7"/>
  <c r="D12" i="12"/>
  <c r="E17" i="16"/>
  <c r="E18" i="7"/>
  <c r="E5" i="7"/>
  <c r="E15" i="7"/>
  <c r="E12" i="16"/>
  <c r="E9" i="7"/>
  <c r="E7" i="7"/>
  <c r="E7" i="16"/>
  <c r="D21" i="7"/>
  <c r="E12" i="7"/>
  <c r="E18" i="16"/>
  <c r="E19" i="16"/>
  <c r="E20" i="7"/>
  <c r="E14" i="7"/>
  <c r="E19" i="7"/>
  <c r="E17" i="7"/>
  <c r="E8" i="16"/>
  <c r="E13" i="7"/>
  <c r="E16" i="7"/>
  <c r="E20" i="16"/>
  <c r="E7" i="10"/>
  <c r="E10" i="16"/>
  <c r="E6" i="7"/>
  <c r="D21" i="16"/>
  <c r="E9" i="16"/>
  <c r="E22" i="17"/>
  <c r="E25" i="17"/>
  <c r="E15" i="17"/>
  <c r="E13" i="17"/>
  <c r="E17" i="17"/>
  <c r="E14" i="17"/>
  <c r="E21" i="17"/>
  <c r="E19" i="17"/>
  <c r="E11" i="17"/>
  <c r="D26" i="17"/>
  <c r="E23" i="17"/>
  <c r="E18" i="17"/>
  <c r="E20" i="17"/>
  <c r="E12" i="17"/>
  <c r="E16" i="17"/>
  <c r="E10" i="17"/>
  <c r="E24" i="17"/>
  <c r="E27" i="4" l="1"/>
  <c r="E42" i="4" s="1"/>
  <c r="I42" i="4" s="1"/>
  <c r="D27" i="4"/>
  <c r="D42" i="4" s="1"/>
  <c r="H42" i="4" s="1"/>
  <c r="L12" i="10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D12" i="19" s="1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5" i="13"/>
  <c r="E19" i="13"/>
  <c r="E14" i="13"/>
  <c r="E10" i="13"/>
  <c r="D21" i="13"/>
  <c r="E13" i="13"/>
  <c r="E17" i="13"/>
  <c r="E18" i="13"/>
  <c r="E12" i="13"/>
  <c r="E8" i="13"/>
  <c r="E5" i="13"/>
  <c r="E20" i="13"/>
  <c r="E9" i="13"/>
  <c r="E16" i="13"/>
  <c r="E11" i="13"/>
  <c r="E7" i="13"/>
  <c r="E6" i="13"/>
  <c r="E10" i="20"/>
  <c r="E25" i="20"/>
  <c r="E20" i="20"/>
  <c r="E21" i="20"/>
  <c r="E17" i="20"/>
  <c r="E18" i="20"/>
  <c r="E23" i="20"/>
  <c r="E24" i="20"/>
  <c r="E22" i="20"/>
  <c r="E12" i="20"/>
  <c r="E15" i="20"/>
  <c r="E19" i="20"/>
  <c r="E11" i="20"/>
  <c r="E13" i="20"/>
  <c r="E14" i="20"/>
  <c r="E16" i="20"/>
  <c r="C27" i="4" l="1"/>
  <c r="K24" i="4" s="1"/>
  <c r="G27" i="4"/>
  <c r="G42" i="4" s="1"/>
  <c r="K42" i="4" s="1"/>
  <c r="K2" i="13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H12" i="19" l="1"/>
  <c r="I12" i="19" s="1"/>
  <c r="D25" i="19"/>
  <c r="H25" i="19" s="1"/>
  <c r="I25" i="19" s="1"/>
  <c r="D21" i="19"/>
  <c r="H21" i="19" s="1"/>
  <c r="I21" i="19" s="1"/>
  <c r="D27" i="19"/>
  <c r="H27" i="19" s="1"/>
  <c r="I27" i="19" s="1"/>
  <c r="D24" i="19"/>
  <c r="K24" i="19" s="1"/>
  <c r="L24" i="19" s="1"/>
  <c r="D20" i="19"/>
  <c r="D23" i="19"/>
  <c r="D26" i="19"/>
  <c r="H26" i="19" s="1"/>
  <c r="I26" i="19" s="1"/>
  <c r="D22" i="19"/>
  <c r="H22" i="19" s="1"/>
  <c r="I22" i="19" s="1"/>
  <c r="D18" i="19"/>
  <c r="H18" i="19" s="1"/>
  <c r="I18" i="19" s="1"/>
  <c r="D19" i="19"/>
  <c r="H19" i="19" s="1"/>
  <c r="I19" i="19" s="1"/>
  <c r="D14" i="19"/>
  <c r="H14" i="19" s="1"/>
  <c r="I14" i="19" s="1"/>
  <c r="D17" i="19"/>
  <c r="K17" i="19" s="1"/>
  <c r="L17" i="19" s="1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I21" i="13"/>
  <c r="D22" i="13" s="1"/>
  <c r="F21" i="13"/>
  <c r="L21" i="13"/>
  <c r="D23" i="13" s="1"/>
  <c r="F21" i="7"/>
  <c r="E14" i="19"/>
  <c r="E15" i="19"/>
  <c r="E27" i="19"/>
  <c r="E22" i="19"/>
  <c r="E18" i="19"/>
  <c r="E19" i="19"/>
  <c r="D28" i="19"/>
  <c r="E26" i="19"/>
  <c r="E23" i="19"/>
  <c r="E16" i="19"/>
  <c r="E20" i="19"/>
  <c r="E24" i="19"/>
  <c r="E25" i="19"/>
  <c r="E17" i="19"/>
  <c r="E12" i="19"/>
  <c r="E21" i="19"/>
  <c r="E13" i="19"/>
  <c r="F27" i="4" l="1"/>
  <c r="F42" i="4" s="1"/>
  <c r="J42" i="4" s="1"/>
  <c r="L42" i="4" s="1"/>
  <c r="D43" i="4"/>
  <c r="E43" i="4"/>
  <c r="G43" i="4"/>
  <c r="F43" i="4"/>
  <c r="K18" i="19"/>
  <c r="L18" i="19" s="1"/>
  <c r="E17" i="1"/>
  <c r="L17" i="1" s="1"/>
  <c r="E16" i="1"/>
  <c r="L16" i="1" s="1"/>
  <c r="F30" i="19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G44" i="4" l="1"/>
  <c r="K44" i="4" s="1"/>
  <c r="K43" i="4"/>
  <c r="E44" i="4"/>
  <c r="I44" i="4" s="1"/>
  <c r="I43" i="4"/>
  <c r="D44" i="4"/>
  <c r="H44" i="4" s="1"/>
  <c r="H43" i="4"/>
  <c r="F44" i="4"/>
  <c r="J44" i="4" s="1"/>
  <c r="J43" i="4"/>
  <c r="I28" i="19"/>
  <c r="D29" i="19" s="1"/>
  <c r="L28" i="19"/>
  <c r="D30" i="19" s="1"/>
  <c r="F28" i="19"/>
  <c r="L44" i="4" l="1"/>
  <c r="L43" i="4"/>
  <c r="K26" i="4" s="1"/>
  <c r="K31" i="4" l="1"/>
  <c r="J33" i="4" s="1"/>
  <c r="C46" i="4"/>
  <c r="D46" i="4" s="1"/>
  <c r="L26" i="20"/>
  <c r="D28" i="20" s="1"/>
  <c r="F26" i="20"/>
  <c r="I26" i="20"/>
  <c r="D27" i="20" s="1"/>
</calcChain>
</file>

<file path=xl/sharedStrings.xml><?xml version="1.0" encoding="utf-8"?>
<sst xmlns="http://schemas.openxmlformats.org/spreadsheetml/2006/main" count="415" uniqueCount="166">
  <si>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</si>
  <si>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</si>
  <si>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</si>
  <si>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</si>
  <si>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</si>
  <si>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</si>
  <si>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</si>
  <si>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</si>
  <si>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</si>
  <si>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</si>
  <si>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</si>
  <si>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</si>
  <si>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</si>
  <si>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</si>
  <si>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</si>
  <si>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</si>
  <si>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</si>
  <si>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</si>
  <si>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</si>
  <si>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</si>
  <si>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</si>
  <si>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</si>
  <si>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</si>
  <si>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</si>
  <si>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</si>
  <si>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</si>
  <si>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</si>
  <si>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</si>
  <si>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</si>
  <si>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</si>
  <si>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</si>
  <si>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</si>
  <si>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</si>
  <si>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</si>
  <si>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</si>
  <si>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</si>
  <si>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</si>
  <si>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</si>
  <si>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</si>
  <si>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</si>
  <si>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</si>
  <si>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</si>
  <si>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</si>
  <si>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</si>
  <si>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</si>
  <si>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</si>
  <si>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</si>
  <si>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</si>
  <si>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</si>
  <si>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</si>
  <si>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</si>
  <si>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</si>
  <si>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</si>
  <si>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</si>
  <si>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</si>
  <si>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</si>
  <si>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</si>
  <si>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</si>
  <si>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</si>
  <si>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</si>
  <si>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</si>
  <si>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</si>
  <si>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</si>
  <si>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</si>
  <si>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</si>
  <si>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</si>
  <si>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</si>
  <si>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</si>
  <si>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</si>
  <si>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</si>
  <si>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</si>
  <si>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</si>
  <si>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</si>
  <si>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</si>
  <si>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</si>
  <si>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</si>
  <si>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</si>
  <si>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</si>
  <si>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</si>
  <si>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</si>
  <si>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</si>
  <si>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</si>
  <si>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</si>
  <si>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</si>
  <si>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</si>
  <si>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</si>
  <si>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</si>
  <si>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</si>
  <si>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</si>
  <si>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</si>
  <si>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</si>
  <si>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</si>
  <si>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</si>
  <si>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</si>
  <si>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</si>
  <si>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</si>
  <si>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</si>
  <si>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</si>
  <si>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</si>
  <si>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</si>
  <si>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</si>
  <si>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</si>
  <si>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</si>
  <si>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</si>
  <si>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</si>
  <si>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</si>
  <si>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</si>
  <si>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</si>
  <si>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</si>
  <si>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</si>
  <si>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</si>
  <si>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</si>
  <si>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</si>
  <si>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</si>
  <si>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</si>
  <si>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</si>
  <si>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</si>
  <si>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</si>
  <si>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</si>
  <si>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</si>
  <si>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</si>
  <si>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</si>
  <si>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</si>
  <si>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</si>
  <si>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</si>
  <si>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</si>
  <si>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</si>
  <si>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</si>
  <si>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</si>
  <si>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</si>
  <si>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</si>
  <si>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</si>
  <si>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</si>
  <si>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</si>
  <si>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</si>
  <si>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</si>
  <si>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</si>
  <si>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</si>
  <si>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</si>
  <si>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</si>
  <si>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</si>
  <si>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</si>
  <si>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</si>
  <si>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</si>
  <si>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</si>
  <si>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</si>
  <si>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</si>
  <si>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</si>
  <si>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</si>
  <si>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</si>
  <si>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</si>
  <si>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</si>
  <si>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</si>
  <si>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</si>
  <si>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</si>
  <si>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</si>
  <si>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</si>
  <si>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light conc</t>
  </si>
  <si>
    <t>Freq Hz</t>
  </si>
  <si>
    <t>R int</t>
  </si>
  <si>
    <t>itis</t>
  </si>
  <si>
    <r>
      <t>Rd</t>
    </r>
    <r>
      <rPr>
        <vertAlign val="subscript"/>
        <sz val="11"/>
        <color theme="1"/>
        <rFont val="Calibri"/>
        <family val="2"/>
        <scheme val="minor"/>
      </rPr>
      <t>1</t>
    </r>
  </si>
  <si>
    <r>
      <t>Rd</t>
    </r>
    <r>
      <rPr>
        <vertAlign val="subscript"/>
        <sz val="11"/>
        <color theme="1"/>
        <rFont val="Calibri"/>
        <family val="2"/>
        <scheme val="minor"/>
      </rPr>
      <t>2</t>
    </r>
  </si>
  <si>
    <t>Height</t>
  </si>
  <si>
    <t>PORoTON</t>
  </si>
  <si>
    <t>PORotON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</si>
</sst>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0" fontId="0" fillId="3" borderId="1" xfId="0" applyFill="1" applyBorder="1" applyAlignment="1">
      <alignment horizontal="center" vertical="center"/>
    </xf>
    <xf numFmtId="11" fontId="3" fillId="0" borderId="1" xfId="0" applyNumberFormat="1" applyFont="1" applyFill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interpolated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'Facade Wall'!$W$5:$W$20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 formatCode="#,##0">
                  <c:v>1000</c:v>
                </c:pt>
                <c:pt idx="11" formatCode="#,##0">
                  <c:v>1250</c:v>
                </c:pt>
                <c:pt idx="12" formatCode="#,##0">
                  <c:v>1600</c:v>
                </c:pt>
                <c:pt idx="13" formatCode="#,##0">
                  <c:v>2000</c:v>
                </c:pt>
                <c:pt idx="14" formatCode="#,##0">
                  <c:v>2500</c:v>
                </c:pt>
                <c:pt idx="15" formatCode="#,##0">
                  <c:v>3150</c:v>
                </c:pt>
              </c:numCache>
            </c:numRef>
          </c:xVal>
          <c:yVal>
            <c:numRef>
              <c:f>'Facade Wall'!$V$5:$V$20</c:f>
              <c:numCache>
                <c:formatCode>General</c:formatCode>
                <c:ptCount val="16"/>
                <c:pt idx="0">
                  <c:v>37</c:v>
                </c:pt>
                <c:pt idx="1">
                  <c:v>37</c:v>
                </c:pt>
                <c:pt idx="2">
                  <c:v>38.4</c:v>
                </c:pt>
                <c:pt idx="3">
                  <c:v>40</c:v>
                </c:pt>
                <c:pt idx="4">
                  <c:v>42</c:v>
                </c:pt>
                <c:pt idx="5">
                  <c:v>44.34</c:v>
                </c:pt>
                <c:pt idx="6">
                  <c:v>47.4</c:v>
                </c:pt>
                <c:pt idx="7">
                  <c:v>51</c:v>
                </c:pt>
                <c:pt idx="8">
                  <c:v>52.82</c:v>
                </c:pt>
                <c:pt idx="9">
                  <c:v>55.2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7-4214-96E4-FBD4766E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644975"/>
        <c:axId val="655536303"/>
      </c:scatterChart>
      <c:valAx>
        <c:axId val="8306449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6303"/>
        <c:crosses val="autoZero"/>
        <c:crossBetween val="midCat"/>
      </c:valAx>
      <c:valAx>
        <c:axId val="65553630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>
                  <a:alpha val="9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4975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7.407407407407407E-2"/>
          <c:w val="0.87119685039370076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'Facade Wall'!$O$5:$O$11</c:f>
              <c:numCache>
                <c:formatCode>General</c:formatCode>
                <c:ptCount val="7"/>
                <c:pt idx="0">
                  <c:v>62.5</c:v>
                </c:pt>
                <c:pt idx="1">
                  <c:v>125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4000</c:v>
                </c:pt>
              </c:numCache>
            </c:numRef>
          </c:xVal>
          <c:yVal>
            <c:numRef>
              <c:f>'Facade Wall'!$P$5:$P$11</c:f>
              <c:numCache>
                <c:formatCode>General</c:formatCode>
                <c:ptCount val="7"/>
                <c:pt idx="0">
                  <c:v>37</c:v>
                </c:pt>
                <c:pt idx="1">
                  <c:v>37</c:v>
                </c:pt>
                <c:pt idx="2">
                  <c:v>42</c:v>
                </c:pt>
                <c:pt idx="3">
                  <c:v>51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3-4031-98FC-24BF5B153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35775"/>
        <c:axId val="752121359"/>
      </c:scatterChart>
      <c:valAx>
        <c:axId val="819357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21359"/>
        <c:crosses val="autoZero"/>
        <c:crossBetween val="midCat"/>
      </c:valAx>
      <c:valAx>
        <c:axId val="7521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544794</xdr:colOff>
      <xdr:row>0</xdr:row>
      <xdr:rowOff>115723</xdr:rowOff>
    </xdr:from>
    <xdr:to>
      <xdr:col>31</xdr:col>
      <xdr:colOff>416607</xdr:colOff>
      <xdr:row>13</xdr:row>
      <xdr:rowOff>10325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268837</xdr:colOff>
      <xdr:row>14</xdr:row>
      <xdr:rowOff>115013</xdr:rowOff>
    </xdr:from>
    <xdr:to>
      <xdr:col>32</xdr:col>
      <xdr:colOff>140650</xdr:colOff>
      <xdr:row>28</xdr:row>
      <xdr:rowOff>116437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</xdr:row>
          <xdr:rowOff>47625</xdr:rowOff>
        </xdr:from>
        <xdr:to>
          <xdr:col>12</xdr:col>
          <xdr:colOff>304800</xdr:colOff>
          <xdr:row>4</xdr:row>
          <xdr:rowOff>85725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4</xdr:row>
          <xdr:rowOff>95250</xdr:rowOff>
        </xdr:from>
        <xdr:to>
          <xdr:col>12</xdr:col>
          <xdr:colOff>38100</xdr:colOff>
          <xdr:row>6</xdr:row>
          <xdr:rowOff>114300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22" zoomScale="115" zoomScaleNormal="115" workbookViewId="0">
      <selection activeCell="K31" sqref="K31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32</v>
      </c>
    </row>
    <row r="2" spans="1:25" ht="18.75" x14ac:dyDescent="0.3">
      <c r="C2" t="s">
        <v>87</v>
      </c>
      <c r="D2" s="7" t="s">
        <v>25</v>
      </c>
      <c r="E2" s="7" t="s">
        <v>163</v>
      </c>
      <c r="F2" t="s">
        <v>26</v>
      </c>
      <c r="G2" t="s">
        <v>27</v>
      </c>
      <c r="H2" t="s">
        <v>29</v>
      </c>
      <c r="K2" s="14" t="s">
        <v>145</v>
      </c>
      <c r="N2" t="s">
        <v>146</v>
      </c>
    </row>
    <row r="3" spans="1:25" ht="14.45" customHeight="1" x14ac:dyDescent="0.25">
      <c r="B3" s="2" t="s">
        <v>23</v>
      </c>
      <c r="C3" s="76" t="s">
        <v>88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31</v>
      </c>
      <c r="D4" s="82">
        <v>7.2</v>
      </c>
      <c r="E4" s="82">
        <v>3.1</v>
      </c>
      <c r="F4" s="57">
        <v>0.33</v>
      </c>
      <c r="G4" s="27">
        <v>390</v>
      </c>
      <c r="K4" t="s">
        <v>147</v>
      </c>
      <c r="M4" t="s">
        <v>148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149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85</v>
      </c>
      <c r="C6" s="80">
        <v>1</v>
      </c>
      <c r="D6" s="82">
        <v>12</v>
      </c>
      <c r="E6" s="82">
        <v>7.2</v>
      </c>
      <c r="F6" s="57">
        <v>0.24</v>
      </c>
      <c r="G6" s="27">
        <v>420</v>
      </c>
      <c r="H6" t="s">
        <v>30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0.24</v>
      </c>
      <c r="G7" s="27">
        <v>420</v>
      </c>
      <c r="H7" t="s">
        <v>30</v>
      </c>
    </row>
    <row r="8" spans="1:25" ht="14.45" customHeight="1" x14ac:dyDescent="0.25">
      <c r="A8">
        <v>4</v>
      </c>
      <c r="B8" t="s">
        <v>86</v>
      </c>
      <c r="C8" s="15">
        <v>2</v>
      </c>
      <c r="D8" s="82">
        <v>12</v>
      </c>
      <c r="E8" s="82">
        <v>3.1</v>
      </c>
      <c r="F8" s="57">
        <v>0.3</v>
      </c>
      <c r="G8" s="153">
        <v>390</v>
      </c>
      <c r="H8" s="44" t="s">
        <v>157</v>
      </c>
    </row>
    <row r="9" spans="1:25" ht="14.45" customHeight="1" x14ac:dyDescent="0.25">
      <c r="A9">
        <v>5</v>
      </c>
      <c r="B9" t="s">
        <v>86</v>
      </c>
      <c r="C9" s="15">
        <v>3</v>
      </c>
      <c r="D9" s="82">
        <v>7.2</v>
      </c>
      <c r="E9" s="82">
        <v>3.1</v>
      </c>
      <c r="F9" s="57">
        <v>0.3</v>
      </c>
      <c r="G9" s="153">
        <v>390</v>
      </c>
      <c r="H9" s="44" t="s">
        <v>157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0.33</v>
      </c>
      <c r="G10" s="27">
        <v>390</v>
      </c>
      <c r="H10" t="s">
        <v>164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0.33</v>
      </c>
      <c r="G11" s="27">
        <v>390</v>
      </c>
      <c r="H11" t="s">
        <v>165</v>
      </c>
    </row>
    <row r="12" spans="1:25" ht="14.45" customHeight="1" x14ac:dyDescent="0.25">
      <c r="B12" s="59" t="s">
        <v>55</v>
      </c>
      <c r="C12" s="59"/>
    </row>
    <row r="13" spans="1:25" x14ac:dyDescent="0.25">
      <c r="A13">
        <v>7</v>
      </c>
      <c r="B13" s="58" t="s">
        <v>54</v>
      </c>
      <c r="C13" s="81">
        <v>2</v>
      </c>
      <c r="D13" s="17">
        <v>1.8</v>
      </c>
      <c r="E13" s="17">
        <v>1.2</v>
      </c>
      <c r="F13" s="57">
        <v>2.8000000000000001E-2</v>
      </c>
      <c r="G13" s="27">
        <v>25.3</v>
      </c>
    </row>
    <row r="14" spans="1:25" x14ac:dyDescent="0.25">
      <c r="A14">
        <v>8</v>
      </c>
      <c r="B14" s="58" t="s">
        <v>54</v>
      </c>
      <c r="C14" s="81">
        <v>3</v>
      </c>
      <c r="D14" s="17">
        <v>1.6</v>
      </c>
      <c r="E14" s="17">
        <v>1.2</v>
      </c>
      <c r="F14" s="57">
        <v>2.8000000000000001E-2</v>
      </c>
      <c r="G14" s="27">
        <v>25.3</v>
      </c>
    </row>
    <row r="15" spans="1:25" x14ac:dyDescent="0.25">
      <c r="A15">
        <v>9</v>
      </c>
      <c r="B15" s="58" t="s">
        <v>53</v>
      </c>
      <c r="C15" s="81">
        <v>2</v>
      </c>
      <c r="D15" s="17">
        <v>0.9</v>
      </c>
      <c r="E15" s="17">
        <v>2.2000000000000002</v>
      </c>
      <c r="F15" s="110">
        <f>Door!C7</f>
        <v>6.0000000000000005E-2</v>
      </c>
      <c r="G15" s="110">
        <f>Door!E7</f>
        <v>18.8</v>
      </c>
    </row>
    <row r="16" spans="1:25" x14ac:dyDescent="0.25">
      <c r="F16" s="151" t="s">
        <v>150</v>
      </c>
      <c r="G16" s="151"/>
    </row>
    <row r="17" spans="1:13" ht="18.75" x14ac:dyDescent="0.3">
      <c r="A17" s="14" t="s">
        <v>144</v>
      </c>
    </row>
    <row r="18" spans="1:13" ht="14.45" customHeight="1" x14ac:dyDescent="0.25"/>
    <row r="19" spans="1:13" x14ac:dyDescent="0.25">
      <c r="A19" s="2" t="s">
        <v>127</v>
      </c>
      <c r="J19" s="2" t="s">
        <v>128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129</v>
      </c>
      <c r="D23" s="5" t="s">
        <v>13</v>
      </c>
      <c r="E23" s="5" t="s">
        <v>102</v>
      </c>
      <c r="F23" s="5" t="s">
        <v>104</v>
      </c>
      <c r="G23" s="5" t="s">
        <v>107</v>
      </c>
      <c r="K23" s="152" t="s">
        <v>153</v>
      </c>
    </row>
    <row r="24" spans="1:13" ht="19.7" customHeight="1" x14ac:dyDescent="0.25">
      <c r="B24" s="113" t="s">
        <v>101</v>
      </c>
      <c r="C24" s="66" t="s">
        <v>95</v>
      </c>
      <c r="D24" s="67" t="s">
        <v>106</v>
      </c>
      <c r="E24" s="67" t="s">
        <v>103</v>
      </c>
      <c r="F24" s="67" t="s">
        <v>105</v>
      </c>
      <c r="G24" s="67" t="s">
        <v>108</v>
      </c>
      <c r="J24" s="148" t="s">
        <v>154</v>
      </c>
      <c r="K24" s="15">
        <f>C27</f>
        <v>52</v>
      </c>
      <c r="L24" t="s">
        <v>2</v>
      </c>
      <c r="M24" t="s">
        <v>140</v>
      </c>
    </row>
    <row r="25" spans="1:13" ht="17.25" x14ac:dyDescent="0.25">
      <c r="B25" s="126" t="s">
        <v>28</v>
      </c>
      <c r="C25" s="127">
        <f>G4</f>
        <v>390</v>
      </c>
      <c r="D25" s="127">
        <f>G7</f>
        <v>420</v>
      </c>
      <c r="E25" s="127">
        <f>G7</f>
        <v>420</v>
      </c>
      <c r="F25" s="127">
        <f>G8</f>
        <v>390</v>
      </c>
      <c r="G25" s="127">
        <f>G10</f>
        <v>390</v>
      </c>
      <c r="J25" s="150" t="s">
        <v>141</v>
      </c>
      <c r="K25" s="147">
        <v>2</v>
      </c>
      <c r="L25" t="s">
        <v>2</v>
      </c>
      <c r="M25" t="s">
        <v>142</v>
      </c>
    </row>
    <row r="26" spans="1:13" ht="18" x14ac:dyDescent="0.25">
      <c r="B26" s="116" t="s">
        <v>113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143</v>
      </c>
      <c r="K26" s="155">
        <f>-10*LOG10(10^(-K24/10) +L42 +L43 +L44)</f>
        <v>50.28815079818331</v>
      </c>
      <c r="L26" t="s">
        <v>2</v>
      </c>
    </row>
    <row r="27" spans="1:13" ht="18" x14ac:dyDescent="0.25">
      <c r="B27" s="126" t="s">
        <v>18</v>
      </c>
      <c r="C27" s="138">
        <f>'Internal walls'!D21</f>
        <v>52</v>
      </c>
      <c r="D27" s="138">
        <f>Floor!D12</f>
        <v>57</v>
      </c>
      <c r="E27" s="138">
        <f>Ceiling!D12</f>
        <v>57</v>
      </c>
      <c r="F27" s="138">
        <f>'Full Facade'!D28</f>
        <v>46</v>
      </c>
      <c r="G27" s="138">
        <f>'Internal walls'!D21</f>
        <v>52</v>
      </c>
      <c r="J27" s="149" t="s">
        <v>130</v>
      </c>
      <c r="K27" s="86">
        <v>-1</v>
      </c>
      <c r="L27" t="s">
        <v>2</v>
      </c>
      <c r="M27" t="s">
        <v>135</v>
      </c>
    </row>
    <row r="28" spans="1:13" ht="17.25" x14ac:dyDescent="0.25">
      <c r="B28" s="134" t="s">
        <v>17</v>
      </c>
      <c r="J28" s="138" t="s">
        <v>131</v>
      </c>
      <c r="K28" s="19">
        <f>D8*E8*D9</f>
        <v>267.84000000000003</v>
      </c>
      <c r="L28" t="s">
        <v>133</v>
      </c>
      <c r="M28" t="s">
        <v>136</v>
      </c>
    </row>
    <row r="29" spans="1:13" ht="18" x14ac:dyDescent="0.25">
      <c r="B29" s="115" t="s">
        <v>19</v>
      </c>
      <c r="C29" s="132"/>
      <c r="D29" s="83">
        <f>m_d/D25</f>
        <v>0.9285714285714286</v>
      </c>
      <c r="E29" s="83">
        <f>m_d/E25</f>
        <v>0.9285714285714286</v>
      </c>
      <c r="F29" s="83">
        <f>m_d/F25</f>
        <v>1</v>
      </c>
      <c r="G29" s="83">
        <f>m_d/G25</f>
        <v>1</v>
      </c>
      <c r="J29" s="138" t="s">
        <v>132</v>
      </c>
      <c r="K29" s="19">
        <f>D4*E4</f>
        <v>22.32</v>
      </c>
      <c r="L29" t="s">
        <v>83</v>
      </c>
    </row>
    <row r="30" spans="1:13" ht="18.75" thickBot="1" x14ac:dyDescent="0.3">
      <c r="B30" s="126" t="s">
        <v>20</v>
      </c>
      <c r="C30" s="121"/>
      <c r="D30" s="83">
        <f>Joints!L4</f>
        <v>8.1555462812582267</v>
      </c>
      <c r="E30" s="83">
        <f>Joints!L10</f>
        <v>8.1555462812582267</v>
      </c>
      <c r="F30" s="83">
        <f>Joints!L16</f>
        <v>5.7</v>
      </c>
      <c r="G30" s="83">
        <f>Joints!L22</f>
        <v>8.6999999999999993</v>
      </c>
      <c r="J30" s="15" t="s">
        <v>134</v>
      </c>
      <c r="K30" s="111">
        <v>0.5</v>
      </c>
      <c r="L30" t="s">
        <v>95</v>
      </c>
    </row>
    <row r="31" spans="1:13" ht="18.75" thickBot="1" x14ac:dyDescent="0.4">
      <c r="B31" s="126" t="s">
        <v>22</v>
      </c>
      <c r="C31" s="122"/>
      <c r="D31" s="83">
        <f>Joints!L5</f>
        <v>8.7059043669091878</v>
      </c>
      <c r="E31" s="83">
        <f>Joints!L11</f>
        <v>8.7059043669091878</v>
      </c>
      <c r="F31" s="83">
        <f>Joints!L17</f>
        <v>5.7</v>
      </c>
      <c r="G31" s="83">
        <f>Joints!L23</f>
        <v>8.6999999999999993</v>
      </c>
      <c r="J31" s="144" t="s">
        <v>137</v>
      </c>
      <c r="K31" s="23">
        <f>K26+ 10*LOG10(K28/(K29*K30*6)) +K27 -K25</f>
        <v>53.308750711462935</v>
      </c>
      <c r="L31" t="s">
        <v>2</v>
      </c>
    </row>
    <row r="32" spans="1:13" ht="18" x14ac:dyDescent="0.25">
      <c r="B32" s="126" t="s">
        <v>21</v>
      </c>
      <c r="C32" s="121"/>
      <c r="D32" s="83">
        <f>D31</f>
        <v>8.7059043669091878</v>
      </c>
      <c r="E32" s="83">
        <f>E31</f>
        <v>8.7059043669091878</v>
      </c>
      <c r="F32" s="83">
        <f>F31</f>
        <v>5.7</v>
      </c>
      <c r="G32" s="83">
        <f>G31</f>
        <v>8.6999999999999993</v>
      </c>
    </row>
    <row r="33" spans="1:12" ht="17.45" customHeight="1" x14ac:dyDescent="0.25">
      <c r="B33" s="133" t="s">
        <v>112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111</v>
      </c>
      <c r="B34" s="115" t="s">
        <v>110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109</v>
      </c>
      <c r="B35" s="115" t="s">
        <v>119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117</v>
      </c>
      <c r="B36" s="115" t="s">
        <v>120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116</v>
      </c>
      <c r="B37" s="115" t="s">
        <v>121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139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114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115</v>
      </c>
    </row>
    <row r="41" spans="1:12" ht="18.75" customHeight="1" thickBot="1" x14ac:dyDescent="0.3">
      <c r="A41" s="136"/>
      <c r="B41" s="137" t="s">
        <v>97</v>
      </c>
      <c r="C41" s="100">
        <f>C27+C34</f>
        <v>52</v>
      </c>
      <c r="D41" s="130"/>
      <c r="E41" s="130"/>
      <c r="F41" s="130"/>
      <c r="G41" s="131"/>
      <c r="H41" s="142"/>
      <c r="I41" s="7" t="s">
        <v>125</v>
      </c>
      <c r="L41" t="s">
        <v>126</v>
      </c>
    </row>
    <row r="42" spans="1:12" ht="15.6" customHeight="1" x14ac:dyDescent="0.25">
      <c r="A42" s="128" t="s">
        <v>98</v>
      </c>
      <c r="B42" s="117" t="s">
        <v>122</v>
      </c>
      <c r="C42" s="135"/>
      <c r="D42" s="18">
        <f>(D27+D27)/2 +D30+D39</f>
        <v>70.069163219600952</v>
      </c>
      <c r="E42" s="18">
        <f t="shared" ref="E42:G42" si="0">(E27+E27)/2 +E30+E39</f>
        <v>70.069163219600952</v>
      </c>
      <c r="F42" s="18">
        <f t="shared" si="0"/>
        <v>60.273324964312692</v>
      </c>
      <c r="G42" s="18">
        <f t="shared" si="0"/>
        <v>69.273324964312692</v>
      </c>
      <c r="H42" s="143">
        <f>10^(-D42/10)</f>
        <v>9.8420071916169229E-8</v>
      </c>
      <c r="I42" s="143">
        <f t="shared" ref="I42:K42" si="1">10^(-E42/10)</f>
        <v>9.8420071916169229E-8</v>
      </c>
      <c r="J42" s="143">
        <f t="shared" si="1"/>
        <v>9.3900413248886177E-7</v>
      </c>
      <c r="K42" s="143">
        <f t="shared" si="1"/>
        <v>1.1821361641699628E-7</v>
      </c>
      <c r="L42" s="154">
        <f>SUM(H42:K42)</f>
        <v>1.2540578927381965E-6</v>
      </c>
    </row>
    <row r="43" spans="1:12" ht="18.600000000000001" customHeight="1" x14ac:dyDescent="0.25">
      <c r="A43" s="139" t="s">
        <v>99</v>
      </c>
      <c r="B43" s="117" t="s">
        <v>123</v>
      </c>
      <c r="C43" s="135"/>
      <c r="D43" s="19">
        <f>(Rw + D27)/2 +D31 +D39</f>
        <v>68.119521305251908</v>
      </c>
      <c r="E43" s="19">
        <f>(Rw + E27)/2 +E31 +E39</f>
        <v>68.119521305251908</v>
      </c>
      <c r="F43" s="19">
        <f>(Rw + F27)/2 +F31 +F39</f>
        <v>63.273324964312692</v>
      </c>
      <c r="G43" s="19">
        <f>(Rw + G27)/2 +G31 +G39</f>
        <v>69.273324964312692</v>
      </c>
      <c r="H43" s="143">
        <f t="shared" ref="H43:H44" si="2">10^(-D43/10)</f>
        <v>1.5418703939953023E-7</v>
      </c>
      <c r="I43" s="143">
        <f t="shared" ref="I43:I44" si="3">10^(-E43/10)</f>
        <v>1.5418703939953023E-7</v>
      </c>
      <c r="J43" s="143">
        <f t="shared" ref="J43:J44" si="4">10^(-F43/10)</f>
        <v>4.7061688352666813E-7</v>
      </c>
      <c r="K43" s="143">
        <f t="shared" ref="K43:K44" si="5">10^(-G43/10)</f>
        <v>1.1821361641699628E-7</v>
      </c>
      <c r="L43" s="154">
        <f>SUM(H43:K43)</f>
        <v>8.9720457874272481E-7</v>
      </c>
    </row>
    <row r="44" spans="1:12" ht="18" x14ac:dyDescent="0.25">
      <c r="A44" s="139" t="s">
        <v>100</v>
      </c>
      <c r="B44" s="126" t="s">
        <v>118</v>
      </c>
      <c r="C44" s="135"/>
      <c r="D44" s="18">
        <f>D43</f>
        <v>68.119521305251908</v>
      </c>
      <c r="E44" s="18">
        <f t="shared" ref="E44:G44" si="6">E43</f>
        <v>68.119521305251908</v>
      </c>
      <c r="F44" s="18">
        <f t="shared" si="6"/>
        <v>63.273324964312692</v>
      </c>
      <c r="G44" s="18">
        <f t="shared" si="6"/>
        <v>69.273324964312692</v>
      </c>
      <c r="H44" s="143">
        <f t="shared" si="2"/>
        <v>1.5418703939953023E-7</v>
      </c>
      <c r="I44" s="143">
        <f t="shared" si="3"/>
        <v>1.5418703939953023E-7</v>
      </c>
      <c r="J44" s="143">
        <f t="shared" si="4"/>
        <v>4.7061688352666813E-7</v>
      </c>
      <c r="K44" s="143">
        <f t="shared" si="5"/>
        <v>1.1821361641699628E-7</v>
      </c>
      <c r="L44" s="154">
        <f>SUM(H44:K44)</f>
        <v>8.9720457874272481E-7</v>
      </c>
    </row>
    <row r="45" spans="1:12" ht="15.75" thickBot="1" x14ac:dyDescent="0.3">
      <c r="B45" s="119" t="s">
        <v>124</v>
      </c>
    </row>
    <row r="46" spans="1:12" ht="18.75" thickBot="1" x14ac:dyDescent="0.3">
      <c r="B46" s="145" t="s">
        <v>138</v>
      </c>
      <c r="C46" s="23">
        <f>K26</f>
        <v>50.28815079818331</v>
      </c>
      <c r="D46" s="73" t="str">
        <f>IF(C46&gt;=N4,"Complies with legal limiting value.","Does not comply with legal limiting value!")</f>
        <v>Complies with legal limiting value.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zoomScale="107" zoomScaleNormal="107" workbookViewId="0">
      <selection activeCell="D11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52</v>
      </c>
      <c r="B2" s="4">
        <f>DATA!G6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  <c r="N5" t="s">
        <v>156</v>
      </c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4" t="s">
        <v>44</v>
      </c>
      <c r="H12" s="34"/>
      <c r="I12" s="36">
        <f>-10*LOG10(SUM(I6:I10))</f>
        <v>55.013442542133319</v>
      </c>
      <c r="J12" s="74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52</v>
      </c>
      <c r="B2" s="4">
        <f>DATA!G7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5" t="s">
        <v>44</v>
      </c>
      <c r="H12" s="34"/>
      <c r="I12" s="36">
        <f>-10*LOG10(SUM(I6:I10))</f>
        <v>55.013442542133319</v>
      </c>
      <c r="J12" s="75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24"/>
  <sheetViews>
    <sheetView topLeftCell="A7" zoomScale="107" zoomScaleNormal="107" workbookViewId="0">
      <selection activeCell="V11" sqref="V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23" x14ac:dyDescent="0.25">
      <c r="A1" s="2" t="s">
        <v>48</v>
      </c>
    </row>
    <row r="2" spans="1:23" ht="17.25" x14ac:dyDescent="0.25">
      <c r="A2" t="s">
        <v>52</v>
      </c>
      <c r="B2" s="4">
        <f>DATA!G8</f>
        <v>390</v>
      </c>
      <c r="C2" t="s">
        <v>15</v>
      </c>
      <c r="D2" s="44" t="s">
        <v>49</v>
      </c>
    </row>
    <row r="3" spans="1:23" x14ac:dyDescent="0.25">
      <c r="C3" s="40"/>
    </row>
    <row r="4" spans="1:23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4"/>
      <c r="O4" s="27" t="s">
        <v>158</v>
      </c>
      <c r="P4" s="27" t="s">
        <v>66</v>
      </c>
      <c r="V4" s="17" t="s">
        <v>159</v>
      </c>
      <c r="W4" s="4" t="s">
        <v>63</v>
      </c>
    </row>
    <row r="5" spans="1:23" x14ac:dyDescent="0.25">
      <c r="A5" s="41"/>
      <c r="C5" s="17">
        <v>100</v>
      </c>
      <c r="D5" s="147">
        <f>V5</f>
        <v>37</v>
      </c>
      <c r="E5" s="18">
        <f>Weighted_Index(D5:D20,1,FALSE,FALSE)</f>
        <v>35</v>
      </c>
      <c r="F5" s="32">
        <f t="shared" ref="F5:F20" si="0">MAX(0,E5-D5)</f>
        <v>0</v>
      </c>
      <c r="G5" s="30">
        <v>-29</v>
      </c>
      <c r="H5" s="19">
        <f t="shared" ref="H5:H20" si="1">G5-D5</f>
        <v>-66</v>
      </c>
      <c r="I5" s="29">
        <f>10^(H5/10)</f>
        <v>2.511886431509578E-7</v>
      </c>
      <c r="J5" s="30">
        <v>-20</v>
      </c>
      <c r="K5" s="19">
        <f t="shared" ref="K5:K20" si="2">J5-D5</f>
        <v>-57</v>
      </c>
      <c r="L5" s="26">
        <f>10^(K5/10)</f>
        <v>1.9952623149688749E-6</v>
      </c>
      <c r="N5" s="4">
        <v>0</v>
      </c>
      <c r="O5" s="4">
        <f>62.5*2^(N5)</f>
        <v>62.5</v>
      </c>
      <c r="P5" s="4">
        <v>37</v>
      </c>
      <c r="V5" s="4">
        <f>P5 + ((W5-O5)/(O6-O5))*(P6-P5)</f>
        <v>37</v>
      </c>
      <c r="W5" s="17">
        <v>100</v>
      </c>
    </row>
    <row r="6" spans="1:23" x14ac:dyDescent="0.25">
      <c r="A6" s="41"/>
      <c r="C6" s="17">
        <v>125</v>
      </c>
      <c r="D6" s="147">
        <f t="shared" ref="D6:D20" si="3">V6</f>
        <v>37</v>
      </c>
      <c r="E6" s="19">
        <f>Weighted_Index(D5:D20,2,FALSE,FALSE)</f>
        <v>38</v>
      </c>
      <c r="F6" s="33">
        <f t="shared" si="0"/>
        <v>1</v>
      </c>
      <c r="G6" s="30">
        <v>-26</v>
      </c>
      <c r="H6" s="19">
        <f t="shared" si="1"/>
        <v>-63</v>
      </c>
      <c r="I6" s="29">
        <f t="shared" ref="I6:I20" si="4">10^(H6/10)</f>
        <v>5.0118723362727218E-7</v>
      </c>
      <c r="J6" s="30">
        <v>-20</v>
      </c>
      <c r="K6" s="19">
        <f t="shared" si="2"/>
        <v>-57</v>
      </c>
      <c r="L6" s="26">
        <f t="shared" ref="L6:L20" si="5">10^(K6/10)</f>
        <v>1.9952623149688749E-6</v>
      </c>
      <c r="N6" s="4">
        <v>1</v>
      </c>
      <c r="O6" s="4">
        <f t="shared" ref="O6:O11" si="6">62.5*2^(N6)</f>
        <v>125</v>
      </c>
      <c r="P6" s="4">
        <v>37</v>
      </c>
      <c r="V6" s="4">
        <f>P6</f>
        <v>37</v>
      </c>
      <c r="W6" s="17">
        <v>125</v>
      </c>
    </row>
    <row r="7" spans="1:23" x14ac:dyDescent="0.25">
      <c r="A7" s="41"/>
      <c r="C7" s="17">
        <v>160</v>
      </c>
      <c r="D7" s="147">
        <f t="shared" si="3"/>
        <v>38.4</v>
      </c>
      <c r="E7" s="19">
        <f>Weighted_Index(D5:D20,3,FALSE,FALSE)</f>
        <v>41</v>
      </c>
      <c r="F7" s="33">
        <f t="shared" si="0"/>
        <v>2.6000000000000014</v>
      </c>
      <c r="G7" s="30">
        <v>-23</v>
      </c>
      <c r="H7" s="19">
        <f t="shared" si="1"/>
        <v>-61.4</v>
      </c>
      <c r="I7" s="29">
        <f t="shared" si="4"/>
        <v>7.2443596007499005E-7</v>
      </c>
      <c r="J7" s="30">
        <v>-18</v>
      </c>
      <c r="K7" s="19">
        <f t="shared" si="2"/>
        <v>-56.4</v>
      </c>
      <c r="L7" s="26">
        <f t="shared" si="5"/>
        <v>2.2908676527677705E-6</v>
      </c>
      <c r="N7" s="4">
        <v>2</v>
      </c>
      <c r="O7" s="4">
        <f t="shared" si="6"/>
        <v>250</v>
      </c>
      <c r="P7" s="4">
        <v>42</v>
      </c>
      <c r="V7" s="4">
        <f>P6 + ((W7-O6)/(O7-O6))*(P7-P6)</f>
        <v>38.4</v>
      </c>
      <c r="W7" s="17">
        <v>160</v>
      </c>
    </row>
    <row r="8" spans="1:23" x14ac:dyDescent="0.25">
      <c r="A8" s="41"/>
      <c r="C8" s="17">
        <v>200</v>
      </c>
      <c r="D8" s="147">
        <f t="shared" si="3"/>
        <v>40</v>
      </c>
      <c r="E8" s="19">
        <f>Weighted_Index(D5:D20,4,FALSE,FALSE)</f>
        <v>44</v>
      </c>
      <c r="F8" s="33">
        <f t="shared" si="0"/>
        <v>4</v>
      </c>
      <c r="G8" s="30">
        <v>-21</v>
      </c>
      <c r="H8" s="19">
        <f t="shared" si="1"/>
        <v>-61</v>
      </c>
      <c r="I8" s="29">
        <f t="shared" si="4"/>
        <v>7.9432823472428114E-7</v>
      </c>
      <c r="J8" s="30">
        <v>-16</v>
      </c>
      <c r="K8" s="19">
        <f t="shared" si="2"/>
        <v>-56</v>
      </c>
      <c r="L8" s="26">
        <f t="shared" si="5"/>
        <v>2.5118864315095806E-6</v>
      </c>
      <c r="N8" s="4">
        <v>3</v>
      </c>
      <c r="O8" s="4">
        <f t="shared" si="6"/>
        <v>500</v>
      </c>
      <c r="P8" s="4">
        <v>51</v>
      </c>
      <c r="V8" s="4">
        <f>P6+ ((W8-O6)/(O7-O6))*(P7-P6)</f>
        <v>40</v>
      </c>
      <c r="W8" s="17">
        <v>200</v>
      </c>
    </row>
    <row r="9" spans="1:23" x14ac:dyDescent="0.25">
      <c r="A9" s="41"/>
      <c r="C9" s="17">
        <v>250</v>
      </c>
      <c r="D9" s="147">
        <f t="shared" si="3"/>
        <v>42</v>
      </c>
      <c r="E9" s="19">
        <f>Weighted_Index(D5:D20,5,FALSE,FALSE)</f>
        <v>47</v>
      </c>
      <c r="F9" s="32">
        <f t="shared" si="0"/>
        <v>5</v>
      </c>
      <c r="G9" s="30">
        <v>-19</v>
      </c>
      <c r="H9" s="19">
        <f t="shared" si="1"/>
        <v>-61</v>
      </c>
      <c r="I9" s="29">
        <f t="shared" si="4"/>
        <v>7.9432823472428114E-7</v>
      </c>
      <c r="J9" s="30">
        <v>-15</v>
      </c>
      <c r="K9" s="19">
        <f t="shared" si="2"/>
        <v>-57</v>
      </c>
      <c r="L9" s="26">
        <f t="shared" si="5"/>
        <v>1.9952623149688749E-6</v>
      </c>
      <c r="N9" s="4">
        <v>4</v>
      </c>
      <c r="O9" s="4">
        <f t="shared" si="6"/>
        <v>1000</v>
      </c>
      <c r="P9" s="4">
        <v>58</v>
      </c>
      <c r="V9" s="4">
        <f>P7</f>
        <v>42</v>
      </c>
      <c r="W9" s="17">
        <v>250</v>
      </c>
    </row>
    <row r="10" spans="1:23" x14ac:dyDescent="0.25">
      <c r="A10" s="41"/>
      <c r="C10" s="17">
        <v>315</v>
      </c>
      <c r="D10" s="147">
        <f t="shared" si="3"/>
        <v>44.34</v>
      </c>
      <c r="E10" s="19">
        <f>Weighted_Index(D5:D20,6,FALSE,FALSE)</f>
        <v>50</v>
      </c>
      <c r="F10" s="33">
        <f t="shared" si="0"/>
        <v>5.6599999999999966</v>
      </c>
      <c r="G10" s="30">
        <v>-17</v>
      </c>
      <c r="H10" s="19">
        <f t="shared" si="1"/>
        <v>-61.34</v>
      </c>
      <c r="I10" s="29">
        <f t="shared" si="4"/>
        <v>7.3451386815711279E-7</v>
      </c>
      <c r="J10" s="30">
        <v>-14</v>
      </c>
      <c r="K10" s="19">
        <f t="shared" si="2"/>
        <v>-58.34</v>
      </c>
      <c r="L10" s="26">
        <f t="shared" si="5"/>
        <v>1.4655478409559085E-6</v>
      </c>
      <c r="N10" s="4">
        <v>5</v>
      </c>
      <c r="O10" s="4">
        <f t="shared" si="6"/>
        <v>2000</v>
      </c>
      <c r="P10" s="4">
        <v>58</v>
      </c>
      <c r="V10" s="4">
        <f>P7 + ((W10-O7)/(O8-O7))*(P8-P7)</f>
        <v>44.34</v>
      </c>
      <c r="W10" s="17">
        <v>315</v>
      </c>
    </row>
    <row r="11" spans="1:23" x14ac:dyDescent="0.25">
      <c r="A11" s="41"/>
      <c r="C11" s="17">
        <v>400</v>
      </c>
      <c r="D11" s="147">
        <f t="shared" si="3"/>
        <v>47.4</v>
      </c>
      <c r="E11" s="19">
        <f>Weighted_Index(D5:D20,7,FALSE,FALSE)</f>
        <v>53</v>
      </c>
      <c r="F11" s="33">
        <f t="shared" si="0"/>
        <v>5.6000000000000014</v>
      </c>
      <c r="G11" s="30">
        <v>-15</v>
      </c>
      <c r="H11" s="19">
        <f t="shared" si="1"/>
        <v>-62.4</v>
      </c>
      <c r="I11" s="29">
        <f t="shared" si="4"/>
        <v>5.7543993733715549E-7</v>
      </c>
      <c r="J11" s="30">
        <v>-13</v>
      </c>
      <c r="K11" s="19">
        <f t="shared" si="2"/>
        <v>-60.4</v>
      </c>
      <c r="L11" s="26">
        <f t="shared" si="5"/>
        <v>9.12010839355909E-7</v>
      </c>
      <c r="N11" s="4">
        <v>6</v>
      </c>
      <c r="O11" s="4">
        <f t="shared" si="6"/>
        <v>4000</v>
      </c>
      <c r="P11" s="4">
        <v>58</v>
      </c>
      <c r="V11" s="4">
        <f>P7 + ((W11-O7)/(O8-O7))*(P8-P7)</f>
        <v>47.4</v>
      </c>
      <c r="W11" s="17">
        <v>400</v>
      </c>
    </row>
    <row r="12" spans="1:23" x14ac:dyDescent="0.25">
      <c r="A12" s="45"/>
      <c r="C12" s="20">
        <v>500</v>
      </c>
      <c r="D12" s="147">
        <f t="shared" si="3"/>
        <v>51</v>
      </c>
      <c r="E12" s="21">
        <f>Weighted_Index(D5:D20,8,FALSE,FALSE)</f>
        <v>54</v>
      </c>
      <c r="F12" s="33">
        <f t="shared" si="0"/>
        <v>3</v>
      </c>
      <c r="G12" s="30">
        <v>-13</v>
      </c>
      <c r="H12" s="19">
        <f t="shared" si="1"/>
        <v>-64</v>
      </c>
      <c r="I12" s="29">
        <f t="shared" si="4"/>
        <v>3.9810717055349618E-7</v>
      </c>
      <c r="J12" s="30">
        <v>-12</v>
      </c>
      <c r="K12" s="19">
        <f t="shared" si="2"/>
        <v>-63</v>
      </c>
      <c r="L12" s="26">
        <f t="shared" si="5"/>
        <v>5.0118723362727218E-7</v>
      </c>
      <c r="V12" s="4">
        <f>P8</f>
        <v>51</v>
      </c>
      <c r="W12" s="20">
        <v>500</v>
      </c>
    </row>
    <row r="13" spans="1:23" x14ac:dyDescent="0.25">
      <c r="A13" s="41"/>
      <c r="C13" s="17">
        <v>630</v>
      </c>
      <c r="D13" s="147">
        <f t="shared" si="3"/>
        <v>52.82</v>
      </c>
      <c r="E13" s="19">
        <f>Weighted_Index(D5:D20,9,FALSE,FALSE)</f>
        <v>55</v>
      </c>
      <c r="F13" s="33">
        <f t="shared" si="0"/>
        <v>2.1799999999999997</v>
      </c>
      <c r="G13" s="30">
        <v>-12</v>
      </c>
      <c r="H13" s="19">
        <f t="shared" si="1"/>
        <v>-64.819999999999993</v>
      </c>
      <c r="I13" s="29">
        <f t="shared" si="4"/>
        <v>3.2960971217745781E-7</v>
      </c>
      <c r="J13" s="30">
        <v>-11</v>
      </c>
      <c r="K13" s="19">
        <f t="shared" si="2"/>
        <v>-63.82</v>
      </c>
      <c r="L13" s="26">
        <f t="shared" si="5"/>
        <v>4.1495404263436261E-7</v>
      </c>
      <c r="V13" s="4">
        <f>P8 + ((W13-O8)/(O9-O8))*(P9-P8)</f>
        <v>52.82</v>
      </c>
      <c r="W13" s="17">
        <v>630</v>
      </c>
    </row>
    <row r="14" spans="1:23" x14ac:dyDescent="0.25">
      <c r="A14" s="41"/>
      <c r="C14" s="17">
        <v>800</v>
      </c>
      <c r="D14" s="147">
        <f t="shared" si="3"/>
        <v>55.2</v>
      </c>
      <c r="E14" s="19">
        <f>Weighted_Index(D5:D20,10,FALSE,FALSE)</f>
        <v>56</v>
      </c>
      <c r="F14" s="33">
        <f t="shared" si="0"/>
        <v>0.79999999999999716</v>
      </c>
      <c r="G14" s="30">
        <v>-11</v>
      </c>
      <c r="H14" s="19">
        <f t="shared" si="1"/>
        <v>-66.2</v>
      </c>
      <c r="I14" s="29">
        <f t="shared" si="4"/>
        <v>2.3988329190194845E-7</v>
      </c>
      <c r="J14" s="30">
        <v>-9</v>
      </c>
      <c r="K14" s="19">
        <f t="shared" si="2"/>
        <v>-64.2</v>
      </c>
      <c r="L14" s="26">
        <f t="shared" si="5"/>
        <v>3.8018939632056089E-7</v>
      </c>
      <c r="V14" s="4">
        <f>P8+((W14-O8)/(O9-O8))*(P9-P8)</f>
        <v>55.2</v>
      </c>
      <c r="W14" s="17">
        <v>800</v>
      </c>
    </row>
    <row r="15" spans="1:23" x14ac:dyDescent="0.25">
      <c r="A15" s="41"/>
      <c r="C15" s="22">
        <v>1000</v>
      </c>
      <c r="D15" s="147">
        <f t="shared" si="3"/>
        <v>58</v>
      </c>
      <c r="E15" s="19">
        <f>Weighted_Index(D5:D20,11,FALSE,FALSE)</f>
        <v>57</v>
      </c>
      <c r="F15" s="33">
        <f t="shared" si="0"/>
        <v>0</v>
      </c>
      <c r="G15" s="30">
        <v>-10</v>
      </c>
      <c r="H15" s="19">
        <f t="shared" si="1"/>
        <v>-68</v>
      </c>
      <c r="I15" s="29">
        <f t="shared" si="4"/>
        <v>1.5848931924611122E-7</v>
      </c>
      <c r="J15" s="30">
        <v>-8</v>
      </c>
      <c r="K15" s="19">
        <f t="shared" si="2"/>
        <v>-66</v>
      </c>
      <c r="L15" s="26">
        <f t="shared" si="5"/>
        <v>2.511886431509578E-7</v>
      </c>
      <c r="V15" s="4">
        <f t="shared" ref="V15:V20" si="7">cons</f>
        <v>58</v>
      </c>
      <c r="W15" s="22">
        <v>1000</v>
      </c>
    </row>
    <row r="16" spans="1:23" x14ac:dyDescent="0.25">
      <c r="A16" s="41"/>
      <c r="C16" s="22">
        <v>1250</v>
      </c>
      <c r="D16" s="147">
        <f t="shared" si="3"/>
        <v>58</v>
      </c>
      <c r="E16" s="19">
        <f>Weighted_Index(D5:D20,12,FALSE,FALSE)</f>
        <v>58</v>
      </c>
      <c r="F16" s="33">
        <f t="shared" si="0"/>
        <v>0</v>
      </c>
      <c r="G16" s="30">
        <v>-9</v>
      </c>
      <c r="H16" s="19">
        <f t="shared" si="1"/>
        <v>-67</v>
      </c>
      <c r="I16" s="29">
        <f t="shared" si="4"/>
        <v>1.9952623149688761E-7</v>
      </c>
      <c r="J16" s="30">
        <v>-9</v>
      </c>
      <c r="K16" s="19">
        <f t="shared" si="2"/>
        <v>-67</v>
      </c>
      <c r="L16" s="26">
        <f t="shared" si="5"/>
        <v>1.9952623149688761E-7</v>
      </c>
      <c r="V16" s="4">
        <f t="shared" si="7"/>
        <v>58</v>
      </c>
      <c r="W16" s="22">
        <v>1250</v>
      </c>
    </row>
    <row r="17" spans="1:23" x14ac:dyDescent="0.25">
      <c r="A17" s="41"/>
      <c r="C17" s="22">
        <v>1600</v>
      </c>
      <c r="D17" s="147">
        <f t="shared" si="3"/>
        <v>58</v>
      </c>
      <c r="E17" s="19">
        <f>Weighted_Index(D5:D20,13,FALSE,FALSE)</f>
        <v>58</v>
      </c>
      <c r="F17" s="33">
        <f t="shared" si="0"/>
        <v>0</v>
      </c>
      <c r="G17" s="30">
        <v>-9</v>
      </c>
      <c r="H17" s="19">
        <f t="shared" si="1"/>
        <v>-67</v>
      </c>
      <c r="I17" s="29">
        <f t="shared" si="4"/>
        <v>1.9952623149688761E-7</v>
      </c>
      <c r="J17" s="30">
        <v>-10</v>
      </c>
      <c r="K17" s="19">
        <f t="shared" si="2"/>
        <v>-68</v>
      </c>
      <c r="L17" s="26">
        <f t="shared" si="5"/>
        <v>1.5848931924611122E-7</v>
      </c>
      <c r="V17" s="4">
        <f t="shared" si="7"/>
        <v>58</v>
      </c>
      <c r="W17" s="22">
        <v>1600</v>
      </c>
    </row>
    <row r="18" spans="1:23" x14ac:dyDescent="0.25">
      <c r="A18" s="41"/>
      <c r="C18" s="22">
        <v>2000</v>
      </c>
      <c r="D18" s="147">
        <f t="shared" si="3"/>
        <v>58</v>
      </c>
      <c r="E18" s="19">
        <f>Weighted_Index(D5:D20,14,FALSE,FALSE)</f>
        <v>58</v>
      </c>
      <c r="F18" s="33">
        <f t="shared" si="0"/>
        <v>0</v>
      </c>
      <c r="G18" s="30">
        <v>-9</v>
      </c>
      <c r="H18" s="19">
        <f t="shared" si="1"/>
        <v>-67</v>
      </c>
      <c r="I18" s="29">
        <f t="shared" si="4"/>
        <v>1.9952623149688761E-7</v>
      </c>
      <c r="J18" s="30">
        <v>-11</v>
      </c>
      <c r="K18" s="19">
        <f t="shared" si="2"/>
        <v>-69</v>
      </c>
      <c r="L18" s="26">
        <f t="shared" si="5"/>
        <v>1.2589254117941651E-7</v>
      </c>
      <c r="V18" s="4">
        <f t="shared" si="7"/>
        <v>58</v>
      </c>
      <c r="W18" s="22">
        <v>2000</v>
      </c>
    </row>
    <row r="19" spans="1:23" x14ac:dyDescent="0.25">
      <c r="A19" s="41"/>
      <c r="C19" s="22">
        <v>2500</v>
      </c>
      <c r="D19" s="147">
        <f t="shared" si="3"/>
        <v>58</v>
      </c>
      <c r="E19" s="19">
        <f>Weighted_Index(D5:D20,15,FALSE,FALSE)</f>
        <v>58</v>
      </c>
      <c r="F19" s="33">
        <f t="shared" si="0"/>
        <v>0</v>
      </c>
      <c r="G19" s="30">
        <v>-9</v>
      </c>
      <c r="H19" s="19">
        <f t="shared" si="1"/>
        <v>-67</v>
      </c>
      <c r="I19" s="29">
        <f t="shared" si="4"/>
        <v>1.9952623149688761E-7</v>
      </c>
      <c r="J19" s="30">
        <v>-13</v>
      </c>
      <c r="K19" s="19">
        <f t="shared" si="2"/>
        <v>-71</v>
      </c>
      <c r="L19" s="26">
        <f t="shared" si="5"/>
        <v>7.943282347242818E-8</v>
      </c>
      <c r="V19" s="4">
        <f t="shared" si="7"/>
        <v>58</v>
      </c>
      <c r="W19" s="22">
        <v>2500</v>
      </c>
    </row>
    <row r="20" spans="1:23" ht="15.75" thickBot="1" x14ac:dyDescent="0.3">
      <c r="A20" s="41"/>
      <c r="C20" s="22">
        <v>3150</v>
      </c>
      <c r="D20" s="147">
        <f t="shared" si="3"/>
        <v>58</v>
      </c>
      <c r="E20" s="19">
        <f>Weighted_Index(D5:D20,16,FALSE,FALSE)</f>
        <v>58</v>
      </c>
      <c r="F20" s="33">
        <f t="shared" si="0"/>
        <v>0</v>
      </c>
      <c r="G20" s="30">
        <v>-9</v>
      </c>
      <c r="H20" s="19">
        <f t="shared" si="1"/>
        <v>-67</v>
      </c>
      <c r="I20" s="29">
        <f t="shared" si="4"/>
        <v>1.9952623149688761E-7</v>
      </c>
      <c r="J20" s="30">
        <v>-15</v>
      </c>
      <c r="K20" s="19">
        <f t="shared" si="2"/>
        <v>-73</v>
      </c>
      <c r="L20" s="26">
        <f t="shared" si="5"/>
        <v>5.0118723362727164E-8</v>
      </c>
      <c r="V20" s="4">
        <f t="shared" si="7"/>
        <v>58</v>
      </c>
      <c r="W20" s="22">
        <v>3150</v>
      </c>
    </row>
    <row r="21" spans="1:23" ht="18.75" thickBot="1" x14ac:dyDescent="0.3">
      <c r="C21" s="2" t="s">
        <v>36</v>
      </c>
      <c r="D21" s="23">
        <f>Weighted_Index(D5:D20,0,FALSE,FALSE)</f>
        <v>54</v>
      </c>
      <c r="E21" s="39" t="s">
        <v>47</v>
      </c>
      <c r="F21" s="35">
        <f>SUM(F5:F20)</f>
        <v>29.839999999999996</v>
      </c>
      <c r="G21" s="74" t="s">
        <v>44</v>
      </c>
      <c r="H21" s="34"/>
      <c r="I21" s="36">
        <f>-10*LOG10(SUM(I5:I20))</f>
        <v>51.871439230157854</v>
      </c>
      <c r="J21" s="74" t="s">
        <v>44</v>
      </c>
      <c r="K21" s="34"/>
      <c r="L21" s="37">
        <f>-10*LOG10(SUM(L5:L20))</f>
        <v>48.145406136395302</v>
      </c>
    </row>
    <row r="22" spans="1:23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23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23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4" zoomScale="107" zoomScaleNormal="107" workbookViewId="0">
      <selection activeCell="E10" sqref="E1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54</v>
      </c>
    </row>
    <row r="2" spans="1:12" ht="17.25" x14ac:dyDescent="0.25">
      <c r="A2" t="s">
        <v>52</v>
      </c>
      <c r="B2" s="4">
        <f>DATA!G13</f>
        <v>25.3</v>
      </c>
      <c r="C2" t="s">
        <v>15</v>
      </c>
      <c r="D2" s="44" t="s">
        <v>49</v>
      </c>
      <c r="G2" s="60"/>
    </row>
    <row r="3" spans="1:12" x14ac:dyDescent="0.25">
      <c r="C3" s="40"/>
    </row>
    <row r="4" spans="1:12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2" x14ac:dyDescent="0.25">
      <c r="A5" s="41"/>
      <c r="C5" s="17">
        <v>100</v>
      </c>
      <c r="D5" s="147">
        <v>22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-51</v>
      </c>
      <c r="I5" s="29">
        <f>10^(H5/10)</f>
        <v>7.9432823472428065E-6</v>
      </c>
      <c r="J5" s="30">
        <v>-20</v>
      </c>
      <c r="K5" s="19">
        <f t="shared" ref="K5:K20" si="2">J5-D5</f>
        <v>-42</v>
      </c>
      <c r="L5" s="26">
        <f>10^(K5/10)</f>
        <v>6.3095734448019279E-5</v>
      </c>
    </row>
    <row r="6" spans="1:12" x14ac:dyDescent="0.25">
      <c r="A6" s="41"/>
      <c r="C6" s="17">
        <v>125</v>
      </c>
      <c r="D6" s="147">
        <v>21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-47</v>
      </c>
      <c r="I6" s="29">
        <f t="shared" ref="I6:I20" si="3">10^(H6/10)</f>
        <v>1.9952623149688769E-5</v>
      </c>
      <c r="J6" s="30">
        <v>-20</v>
      </c>
      <c r="K6" s="19">
        <f t="shared" si="2"/>
        <v>-41</v>
      </c>
      <c r="L6" s="26">
        <f t="shared" ref="L6:L20" si="4">10^(K6/10)</f>
        <v>7.9432823472428153E-5</v>
      </c>
    </row>
    <row r="7" spans="1:12" x14ac:dyDescent="0.25">
      <c r="A7" s="41"/>
      <c r="C7" s="17">
        <v>160</v>
      </c>
      <c r="D7" s="147">
        <v>23</v>
      </c>
      <c r="E7" s="19">
        <f>Weighted_Index(D5:D20,3,FALSE,FALSE)</f>
        <v>24</v>
      </c>
      <c r="F7" s="33">
        <f t="shared" si="0"/>
        <v>1</v>
      </c>
      <c r="G7" s="30">
        <v>-23</v>
      </c>
      <c r="H7" s="19">
        <f t="shared" si="1"/>
        <v>-46</v>
      </c>
      <c r="I7" s="29">
        <f t="shared" si="3"/>
        <v>2.5118864315095791E-5</v>
      </c>
      <c r="J7" s="30">
        <v>-18</v>
      </c>
      <c r="K7" s="19">
        <f t="shared" si="2"/>
        <v>-41</v>
      </c>
      <c r="L7" s="26">
        <f t="shared" si="4"/>
        <v>7.9432823472428153E-5</v>
      </c>
    </row>
    <row r="8" spans="1:12" x14ac:dyDescent="0.25">
      <c r="A8" s="41"/>
      <c r="C8" s="17">
        <v>200</v>
      </c>
      <c r="D8" s="147">
        <v>21</v>
      </c>
      <c r="E8" s="19">
        <f>Weighted_Index(D5:D20,4,FALSE,FALSE)</f>
        <v>27</v>
      </c>
      <c r="F8" s="33">
        <f t="shared" si="0"/>
        <v>6</v>
      </c>
      <c r="G8" s="30">
        <v>-21</v>
      </c>
      <c r="H8" s="19">
        <f t="shared" si="1"/>
        <v>-42</v>
      </c>
      <c r="I8" s="29">
        <f t="shared" si="3"/>
        <v>6.3095734448019279E-5</v>
      </c>
      <c r="J8" s="30">
        <v>-16</v>
      </c>
      <c r="K8" s="19">
        <f t="shared" si="2"/>
        <v>-37</v>
      </c>
      <c r="L8" s="26">
        <f t="shared" si="4"/>
        <v>1.9952623149688758E-4</v>
      </c>
    </row>
    <row r="9" spans="1:12" x14ac:dyDescent="0.25">
      <c r="A9" s="41"/>
      <c r="C9" s="17">
        <v>250</v>
      </c>
      <c r="D9" s="147">
        <v>26</v>
      </c>
      <c r="E9" s="19">
        <f>Weighted_Index(D5:D20,5,FALSE,FALSE)</f>
        <v>30</v>
      </c>
      <c r="F9" s="32">
        <f t="shared" si="0"/>
        <v>4</v>
      </c>
      <c r="G9" s="30">
        <v>-19</v>
      </c>
      <c r="H9" s="19">
        <f t="shared" si="1"/>
        <v>-45</v>
      </c>
      <c r="I9" s="29">
        <f t="shared" si="3"/>
        <v>3.1622776601683748E-5</v>
      </c>
      <c r="J9" s="30">
        <v>-15</v>
      </c>
      <c r="K9" s="19">
        <f t="shared" si="2"/>
        <v>-41</v>
      </c>
      <c r="L9" s="26">
        <f t="shared" si="4"/>
        <v>7.9432823472428153E-5</v>
      </c>
    </row>
    <row r="10" spans="1:12" x14ac:dyDescent="0.25">
      <c r="A10" s="41"/>
      <c r="C10" s="17">
        <v>315</v>
      </c>
      <c r="D10" s="147">
        <v>26</v>
      </c>
      <c r="E10" s="19">
        <f>Weighted_Index(D5:D20,6,FALSE,FALSE)</f>
        <v>33</v>
      </c>
      <c r="F10" s="33">
        <f t="shared" si="0"/>
        <v>7</v>
      </c>
      <c r="G10" s="30">
        <v>-17</v>
      </c>
      <c r="H10" s="19">
        <f t="shared" si="1"/>
        <v>-43</v>
      </c>
      <c r="I10" s="29">
        <f t="shared" si="3"/>
        <v>5.0118723362727238E-5</v>
      </c>
      <c r="J10" s="30">
        <v>-14</v>
      </c>
      <c r="K10" s="19">
        <f t="shared" si="2"/>
        <v>-40</v>
      </c>
      <c r="L10" s="26">
        <f t="shared" si="4"/>
        <v>1E-4</v>
      </c>
    </row>
    <row r="11" spans="1:12" x14ac:dyDescent="0.25">
      <c r="A11" s="41"/>
      <c r="C11" s="17">
        <v>400</v>
      </c>
      <c r="D11" s="147">
        <v>33</v>
      </c>
      <c r="E11" s="19">
        <f>Weighted_Index(D5:D20,7,FALSE,FALSE)</f>
        <v>36</v>
      </c>
      <c r="F11" s="33">
        <f t="shared" si="0"/>
        <v>3</v>
      </c>
      <c r="G11" s="30">
        <v>-15</v>
      </c>
      <c r="H11" s="19">
        <f t="shared" si="1"/>
        <v>-48</v>
      </c>
      <c r="I11" s="29">
        <f t="shared" si="3"/>
        <v>1.5848931924611131E-5</v>
      </c>
      <c r="J11" s="30">
        <v>-13</v>
      </c>
      <c r="K11" s="19">
        <f t="shared" si="2"/>
        <v>-46</v>
      </c>
      <c r="L11" s="26">
        <f t="shared" si="4"/>
        <v>2.5118864315095791E-5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</v>
      </c>
      <c r="E13" s="19">
        <f>Weighted_Index(D5:D20,9,FALSE,FALSE)</f>
        <v>38</v>
      </c>
      <c r="F13" s="33">
        <f t="shared" si="0"/>
        <v>3</v>
      </c>
      <c r="G13" s="30">
        <v>-12</v>
      </c>
      <c r="H13" s="19">
        <f t="shared" si="1"/>
        <v>-47</v>
      </c>
      <c r="I13" s="29">
        <f t="shared" si="3"/>
        <v>1.9952623149688769E-5</v>
      </c>
      <c r="J13" s="30">
        <v>-11</v>
      </c>
      <c r="K13" s="19">
        <f t="shared" si="2"/>
        <v>-46</v>
      </c>
      <c r="L13" s="26">
        <f t="shared" si="4"/>
        <v>2.5118864315095791E-5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40</v>
      </c>
      <c r="E15" s="19">
        <f>Weighted_Index(D5:D20,11,FALSE,FALSE)</f>
        <v>40</v>
      </c>
      <c r="F15" s="33">
        <f t="shared" si="0"/>
        <v>0</v>
      </c>
      <c r="G15" s="30">
        <v>-10</v>
      </c>
      <c r="H15" s="19">
        <f t="shared" si="1"/>
        <v>-50</v>
      </c>
      <c r="I15" s="29">
        <f t="shared" si="3"/>
        <v>1.0000000000000001E-5</v>
      </c>
      <c r="J15" s="30">
        <v>-8</v>
      </c>
      <c r="K15" s="19">
        <f t="shared" si="2"/>
        <v>-48</v>
      </c>
      <c r="L15" s="26">
        <f t="shared" si="4"/>
        <v>1.5848931924611131E-5</v>
      </c>
    </row>
    <row r="16" spans="1:12" x14ac:dyDescent="0.25">
      <c r="A16" s="41"/>
      <c r="C16" s="22">
        <v>1250</v>
      </c>
      <c r="D16" s="147">
        <v>41</v>
      </c>
      <c r="E16" s="19">
        <f>Weighted_Index(D5:D20,12,FALSE,FALSE)</f>
        <v>41</v>
      </c>
      <c r="F16" s="33">
        <f t="shared" si="0"/>
        <v>0</v>
      </c>
      <c r="G16" s="30">
        <v>-9</v>
      </c>
      <c r="H16" s="19">
        <f t="shared" si="1"/>
        <v>-50</v>
      </c>
      <c r="I16" s="29">
        <f t="shared" si="3"/>
        <v>1.0000000000000001E-5</v>
      </c>
      <c r="J16" s="30">
        <v>-9</v>
      </c>
      <c r="K16" s="19">
        <f t="shared" si="2"/>
        <v>-50</v>
      </c>
      <c r="L16" s="26">
        <f t="shared" si="4"/>
        <v>1.0000000000000001E-5</v>
      </c>
    </row>
    <row r="17" spans="1:12" x14ac:dyDescent="0.25">
      <c r="A17" s="41"/>
      <c r="C17" s="22">
        <v>1600</v>
      </c>
      <c r="D17" s="147">
        <v>42</v>
      </c>
      <c r="E17" s="19">
        <f>Weighted_Index(D5:D20,13,FALSE,FALSE)</f>
        <v>41</v>
      </c>
      <c r="F17" s="33">
        <f t="shared" si="0"/>
        <v>0</v>
      </c>
      <c r="G17" s="30">
        <v>-9</v>
      </c>
      <c r="H17" s="19">
        <f t="shared" si="1"/>
        <v>-51</v>
      </c>
      <c r="I17" s="29">
        <f t="shared" si="3"/>
        <v>7.9432823472428065E-6</v>
      </c>
      <c r="J17" s="30">
        <v>-10</v>
      </c>
      <c r="K17" s="19">
        <f t="shared" si="2"/>
        <v>-52</v>
      </c>
      <c r="L17" s="26">
        <f t="shared" si="4"/>
        <v>6.3095734448019212E-6</v>
      </c>
    </row>
    <row r="18" spans="1:12" x14ac:dyDescent="0.25">
      <c r="A18" s="41"/>
      <c r="C18" s="22">
        <v>2000</v>
      </c>
      <c r="D18" s="147">
        <v>40</v>
      </c>
      <c r="E18" s="19">
        <f>Weighted_Index(D5:D20,14,FALSE,FALSE)</f>
        <v>41</v>
      </c>
      <c r="F18" s="33">
        <f t="shared" si="0"/>
        <v>1</v>
      </c>
      <c r="G18" s="30">
        <v>-9</v>
      </c>
      <c r="H18" s="19">
        <f t="shared" si="1"/>
        <v>-49</v>
      </c>
      <c r="I18" s="29">
        <f t="shared" si="3"/>
        <v>1.2589254117941658E-5</v>
      </c>
      <c r="J18" s="30">
        <v>-11</v>
      </c>
      <c r="K18" s="19">
        <f t="shared" si="2"/>
        <v>-51</v>
      </c>
      <c r="L18" s="26">
        <f t="shared" si="4"/>
        <v>7.9432823472428065E-6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40</v>
      </c>
      <c r="E20" s="19">
        <f>Weighted_Index(D5:D20,16,FALSE,FALSE)</f>
        <v>41</v>
      </c>
      <c r="F20" s="33">
        <f t="shared" si="0"/>
        <v>1</v>
      </c>
      <c r="G20" s="30">
        <v>-9</v>
      </c>
      <c r="H20" s="19">
        <f t="shared" si="1"/>
        <v>-49</v>
      </c>
      <c r="I20" s="29">
        <f t="shared" si="3"/>
        <v>1.2589254117941658E-5</v>
      </c>
      <c r="J20" s="30">
        <v>-15</v>
      </c>
      <c r="K20" s="19">
        <f t="shared" si="2"/>
        <v>-55</v>
      </c>
      <c r="L20" s="26">
        <f t="shared" si="4"/>
        <v>3.1622776601683767E-6</v>
      </c>
    </row>
    <row r="21" spans="1:12" ht="18.75" thickBot="1" x14ac:dyDescent="0.3">
      <c r="C21" s="2" t="s">
        <v>36</v>
      </c>
      <c r="D21" s="23">
        <f>Weighted_Index(D5:D20,0,FALSE,FALSE)</f>
        <v>37</v>
      </c>
      <c r="E21" s="39" t="s">
        <v>47</v>
      </c>
      <c r="F21" s="35">
        <f>SUM(F5:F20)</f>
        <v>32</v>
      </c>
      <c r="G21" s="74" t="s">
        <v>44</v>
      </c>
      <c r="H21" s="34"/>
      <c r="I21" s="36">
        <f>-10*LOG10(SUM(I5:I20))</f>
        <v>34.747398375038784</v>
      </c>
      <c r="J21" s="74" t="s">
        <v>44</v>
      </c>
      <c r="K21" s="34"/>
      <c r="L21" s="37">
        <f>-10*LOG10(SUM(L5:L20))</f>
        <v>31.243545678713748</v>
      </c>
    </row>
    <row r="22" spans="1:12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12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X29"/>
  <sheetViews>
    <sheetView zoomScaleNormal="90" workbookViewId="0">
      <selection activeCell="D10" sqref="D10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4" x14ac:dyDescent="0.25">
      <c r="A1" s="2" t="s">
        <v>53</v>
      </c>
    </row>
    <row r="2" spans="1:24" x14ac:dyDescent="0.25">
      <c r="B2" s="62" t="s">
        <v>56</v>
      </c>
      <c r="C2" s="62" t="s">
        <v>155</v>
      </c>
      <c r="D2" s="2" t="s">
        <v>57</v>
      </c>
      <c r="E2" t="s">
        <v>59</v>
      </c>
      <c r="X2">
        <f>2*J4/3</f>
        <v>100</v>
      </c>
    </row>
    <row r="3" spans="1:24" ht="17.25" x14ac:dyDescent="0.25">
      <c r="C3" s="7" t="s">
        <v>16</v>
      </c>
      <c r="D3" s="7" t="s">
        <v>58</v>
      </c>
      <c r="E3" s="7" t="s">
        <v>15</v>
      </c>
    </row>
    <row r="4" spans="1:24" ht="18" x14ac:dyDescent="0.35">
      <c r="B4" t="s">
        <v>160</v>
      </c>
      <c r="C4" s="15">
        <v>0.01</v>
      </c>
      <c r="D4" s="63">
        <v>800</v>
      </c>
      <c r="E4" s="15">
        <f>C4*D4</f>
        <v>8</v>
      </c>
      <c r="I4" t="s">
        <v>62</v>
      </c>
      <c r="J4" s="12">
        <f>60*SQRT((1/C5)*((1/E4) + (1/E6)))</f>
        <v>150</v>
      </c>
      <c r="K4" t="s">
        <v>63</v>
      </c>
      <c r="X4" s="1">
        <f>J4</f>
        <v>150</v>
      </c>
    </row>
    <row r="5" spans="1:24" ht="18" x14ac:dyDescent="0.35">
      <c r="B5" t="s">
        <v>60</v>
      </c>
      <c r="C5" s="15">
        <v>0.04</v>
      </c>
      <c r="D5" s="63">
        <v>70</v>
      </c>
      <c r="E5" s="15">
        <f>C5*D5</f>
        <v>2.8000000000000003</v>
      </c>
      <c r="I5" t="s">
        <v>61</v>
      </c>
      <c r="J5" s="64">
        <f>343/(2*C5)</f>
        <v>4287.5</v>
      </c>
      <c r="K5" t="s">
        <v>63</v>
      </c>
      <c r="X5" s="123">
        <f>J5</f>
        <v>4287.5</v>
      </c>
    </row>
    <row r="6" spans="1:24" x14ac:dyDescent="0.25">
      <c r="B6" t="s">
        <v>160</v>
      </c>
      <c r="C6" s="15">
        <v>0.01</v>
      </c>
      <c r="D6" s="63">
        <v>800</v>
      </c>
      <c r="E6" s="15">
        <f>C6*D6</f>
        <v>8</v>
      </c>
    </row>
    <row r="7" spans="1:24" x14ac:dyDescent="0.25">
      <c r="B7" s="108" t="s">
        <v>91</v>
      </c>
      <c r="C7" s="109">
        <f>SUM(C4:C6)</f>
        <v>6.0000000000000005E-2</v>
      </c>
      <c r="E7" s="109">
        <f>SUM(E4:E6)</f>
        <v>18.8</v>
      </c>
    </row>
    <row r="8" spans="1:24" ht="18" x14ac:dyDescent="0.25">
      <c r="S8" s="7" t="s">
        <v>67</v>
      </c>
      <c r="T8" s="7" t="s">
        <v>68</v>
      </c>
      <c r="U8" s="7" t="s">
        <v>69</v>
      </c>
      <c r="V8" s="7" t="s">
        <v>70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  <c r="O9" s="27" t="s">
        <v>64</v>
      </c>
      <c r="P9" s="27" t="s">
        <v>161</v>
      </c>
      <c r="Q9" s="27" t="s">
        <v>65</v>
      </c>
      <c r="R9" s="27" t="s">
        <v>162</v>
      </c>
      <c r="S9" s="27" t="s">
        <v>66</v>
      </c>
      <c r="T9" s="27" t="s">
        <v>66</v>
      </c>
      <c r="U9" s="27" t="s">
        <v>66</v>
      </c>
      <c r="V9" s="27" t="s">
        <v>66</v>
      </c>
    </row>
    <row r="10" spans="1:24" x14ac:dyDescent="0.25">
      <c r="A10" s="41"/>
      <c r="C10" s="17">
        <v>100</v>
      </c>
      <c r="D10" s="1">
        <f>T10</f>
        <v>10</v>
      </c>
      <c r="E10" s="18">
        <f>Weighted_Index(D10:D25,1,FALSE,FALSE)</f>
        <v>22</v>
      </c>
      <c r="F10" s="32">
        <f t="shared" ref="F10:F25" si="0">MAX(0,E10-D10)</f>
        <v>12</v>
      </c>
      <c r="G10" s="30">
        <v>-29</v>
      </c>
      <c r="H10" s="19">
        <f t="shared" ref="H10:H25" si="1">G10-D10</f>
        <v>-39</v>
      </c>
      <c r="I10" s="29">
        <f>10^(H10/10)</f>
        <v>1.2589254117941672E-4</v>
      </c>
      <c r="J10" s="30">
        <v>-20</v>
      </c>
      <c r="K10" s="19">
        <f t="shared" ref="K10:K25" si="2">J10-D10</f>
        <v>-30</v>
      </c>
      <c r="L10" s="26">
        <f>10^(K10/10)</f>
        <v>1E-3</v>
      </c>
      <c r="O10" s="19">
        <f>20*LOG10(12.75*C10) - 42.5</f>
        <v>19.610203695399477</v>
      </c>
      <c r="P10" s="19">
        <f>O10-10*LOG10(0.23*O10)</f>
        <v>13.068104287210403</v>
      </c>
      <c r="Q10" s="19">
        <v>19.610203695399477</v>
      </c>
      <c r="R10" s="19">
        <v>13.068104287210403</v>
      </c>
      <c r="S10" s="19">
        <f t="shared" ref="S10:S25" si="3">20*LOG10((md_1+ md_2)*C10) - 47</f>
        <v>17.082399653118486</v>
      </c>
      <c r="T10" s="15">
        <v>10</v>
      </c>
      <c r="U10" s="146">
        <f>P10+R10+20*LOG10(0.07*C10) - 29</f>
        <v>14.038169374705944</v>
      </c>
      <c r="V10" s="19">
        <f>P10+R10+6</f>
        <v>32.136208574420806</v>
      </c>
    </row>
    <row r="11" spans="1:24" x14ac:dyDescent="0.25">
      <c r="A11" s="41"/>
      <c r="C11" s="17">
        <v>125</v>
      </c>
      <c r="D11" s="1">
        <f>T11</f>
        <v>10</v>
      </c>
      <c r="E11" s="19">
        <f>Weighted_Index(D10:D25,2,FALSE,FALSE)</f>
        <v>25</v>
      </c>
      <c r="F11" s="33">
        <f t="shared" si="0"/>
        <v>15</v>
      </c>
      <c r="G11" s="30">
        <v>-26</v>
      </c>
      <c r="H11" s="19">
        <f t="shared" si="1"/>
        <v>-36</v>
      </c>
      <c r="I11" s="29">
        <f t="shared" ref="I11:I25" si="4">10^(H11/10)</f>
        <v>2.5118864315095774E-4</v>
      </c>
      <c r="J11" s="30">
        <v>-20</v>
      </c>
      <c r="K11" s="19">
        <f t="shared" si="2"/>
        <v>-30</v>
      </c>
      <c r="L11" s="26">
        <f t="shared" ref="L11:L25" si="5">10^(K11/10)</f>
        <v>1E-3</v>
      </c>
      <c r="O11" s="19">
        <f t="shared" ref="O11:O25" si="6">20*LOG10(12.75*C11) - 42.5</f>
        <v>21.548403955560616</v>
      </c>
      <c r="P11" s="19">
        <f t="shared" ref="P11:P25" si="7">O11-10*LOG10(0.23*O11)</f>
        <v>14.596974511188623</v>
      </c>
      <c r="Q11" s="19">
        <v>21.548403955560616</v>
      </c>
      <c r="R11" s="19">
        <v>14.596974511188623</v>
      </c>
      <c r="S11" s="19">
        <f t="shared" si="3"/>
        <v>19.020599913279625</v>
      </c>
      <c r="T11" s="15">
        <v>10</v>
      </c>
      <c r="U11" s="146">
        <f t="shared" ref="U11:U25" si="8">P11+R11+20*LOG10(0.07*C11) - 29</f>
        <v>19.034110082823517</v>
      </c>
      <c r="V11" s="19">
        <f t="shared" ref="V11:V25" si="9">P11+R11+6</f>
        <v>35.193949022377247</v>
      </c>
    </row>
    <row r="12" spans="1:24" x14ac:dyDescent="0.25">
      <c r="A12" s="41"/>
      <c r="C12" s="17">
        <v>160</v>
      </c>
      <c r="D12" s="1">
        <f t="shared" ref="D12:D25" si="10">U12</f>
        <v>24.642754755710797</v>
      </c>
      <c r="E12" s="19">
        <f>Weighted_Index(D10:D25,3,FALSE,FALSE)</f>
        <v>28</v>
      </c>
      <c r="F12" s="33">
        <f t="shared" si="0"/>
        <v>3.3572452442892029</v>
      </c>
      <c r="G12" s="30">
        <v>-23</v>
      </c>
      <c r="H12" s="19">
        <f t="shared" si="1"/>
        <v>-47.642754755710797</v>
      </c>
      <c r="I12" s="29">
        <f t="shared" si="4"/>
        <v>1.7207767298335905E-5</v>
      </c>
      <c r="J12" s="30">
        <v>-18</v>
      </c>
      <c r="K12" s="19">
        <f t="shared" si="2"/>
        <v>-42.642754755710797</v>
      </c>
      <c r="L12" s="26">
        <f t="shared" si="5"/>
        <v>5.4415738108903648E-5</v>
      </c>
      <c r="O12" s="19">
        <f t="shared" si="6"/>
        <v>23.692603348517977</v>
      </c>
      <c r="P12" s="19">
        <f t="shared" si="7"/>
        <v>16.329197151153583</v>
      </c>
      <c r="Q12" s="19">
        <v>23.692603348517977</v>
      </c>
      <c r="R12" s="19">
        <v>16.329197151153583</v>
      </c>
      <c r="S12" s="19">
        <f t="shared" si="3"/>
        <v>21.164799306236986</v>
      </c>
      <c r="T12" s="15">
        <v>10</v>
      </c>
      <c r="U12" s="146">
        <f t="shared" si="8"/>
        <v>24.642754755710797</v>
      </c>
      <c r="V12" s="19">
        <f t="shared" si="9"/>
        <v>38.658394302307165</v>
      </c>
    </row>
    <row r="13" spans="1:24" x14ac:dyDescent="0.25">
      <c r="A13" s="41"/>
      <c r="C13" s="17">
        <v>200</v>
      </c>
      <c r="D13" s="1">
        <f t="shared" si="10"/>
        <v>29.774366751854075</v>
      </c>
      <c r="E13" s="19">
        <f>Weighted_Index(D10:D25,4,FALSE,FALSE)</f>
        <v>31</v>
      </c>
      <c r="F13" s="33">
        <f t="shared" si="0"/>
        <v>1.2256332481459253</v>
      </c>
      <c r="G13" s="30">
        <v>-21</v>
      </c>
      <c r="H13" s="19">
        <f t="shared" si="1"/>
        <v>-50.774366751854075</v>
      </c>
      <c r="I13" s="29">
        <f t="shared" si="4"/>
        <v>8.3668758492636028E-6</v>
      </c>
      <c r="J13" s="30">
        <v>-16</v>
      </c>
      <c r="K13" s="19">
        <f t="shared" si="2"/>
        <v>-45.774366751854075</v>
      </c>
      <c r="L13" s="26">
        <f t="shared" si="5"/>
        <v>2.6458384583528645E-5</v>
      </c>
      <c r="O13" s="19">
        <f t="shared" si="6"/>
        <v>25.630803608679102</v>
      </c>
      <c r="P13" s="19">
        <f t="shared" si="7"/>
        <v>17.925903019144656</v>
      </c>
      <c r="Q13" s="19">
        <v>25.630803608679102</v>
      </c>
      <c r="R13" s="19">
        <v>17.925903019144656</v>
      </c>
      <c r="S13" s="19">
        <f t="shared" si="3"/>
        <v>23.102999566398111</v>
      </c>
      <c r="T13" s="15">
        <v>10</v>
      </c>
      <c r="U13" s="146">
        <f t="shared" si="8"/>
        <v>29.774366751854075</v>
      </c>
      <c r="V13" s="19">
        <f t="shared" si="9"/>
        <v>41.851806038289311</v>
      </c>
    </row>
    <row r="14" spans="1:24" x14ac:dyDescent="0.25">
      <c r="A14" s="41"/>
      <c r="C14" s="17">
        <v>250</v>
      </c>
      <c r="D14" s="1">
        <f t="shared" si="10"/>
        <v>34.95579050432643</v>
      </c>
      <c r="E14" s="19">
        <f>Weighted_Index(D10:D25,5,FALSE,FALSE)</f>
        <v>34</v>
      </c>
      <c r="F14" s="32">
        <f t="shared" si="0"/>
        <v>0</v>
      </c>
      <c r="G14" s="30">
        <v>-19</v>
      </c>
      <c r="H14" s="19">
        <f t="shared" si="1"/>
        <v>-53.95579050432643</v>
      </c>
      <c r="I14" s="29">
        <f t="shared" si="4"/>
        <v>4.0218044431152493E-6</v>
      </c>
      <c r="J14" s="30">
        <v>-15</v>
      </c>
      <c r="K14" s="19">
        <f t="shared" si="2"/>
        <v>-49.95579050432643</v>
      </c>
      <c r="L14" s="26">
        <f t="shared" si="5"/>
        <v>1.0102316010846135E-5</v>
      </c>
      <c r="O14" s="19">
        <f t="shared" si="6"/>
        <v>27.569003868840241</v>
      </c>
      <c r="P14" s="19">
        <f t="shared" si="7"/>
        <v>19.547514765300271</v>
      </c>
      <c r="Q14" s="19">
        <v>27.569003868840241</v>
      </c>
      <c r="R14" s="19">
        <v>19.547514765300271</v>
      </c>
      <c r="S14" s="19">
        <f t="shared" si="3"/>
        <v>25.04119982655925</v>
      </c>
      <c r="T14" s="15">
        <v>10</v>
      </c>
      <c r="U14" s="146">
        <f t="shared" si="8"/>
        <v>34.95579050432643</v>
      </c>
      <c r="V14" s="19">
        <f t="shared" si="9"/>
        <v>45.095029530600542</v>
      </c>
    </row>
    <row r="15" spans="1:24" x14ac:dyDescent="0.25">
      <c r="A15" s="41"/>
      <c r="C15" s="17">
        <v>315</v>
      </c>
      <c r="D15" s="1">
        <f t="shared" si="10"/>
        <v>40.36753413751822</v>
      </c>
      <c r="E15" s="19">
        <f>Weighted_Index(D10:D25,6,FALSE,FALSE)</f>
        <v>37</v>
      </c>
      <c r="F15" s="33">
        <f t="shared" si="0"/>
        <v>0</v>
      </c>
      <c r="G15" s="30">
        <v>-17</v>
      </c>
      <c r="H15" s="19">
        <f t="shared" si="1"/>
        <v>-57.36753413751822</v>
      </c>
      <c r="I15" s="29">
        <f t="shared" si="4"/>
        <v>1.8333550799238735E-6</v>
      </c>
      <c r="J15" s="30">
        <v>-14</v>
      </c>
      <c r="K15" s="19">
        <f t="shared" si="2"/>
        <v>-54.36753413751822</v>
      </c>
      <c r="L15" s="26">
        <f t="shared" si="5"/>
        <v>3.6580243009288729E-6</v>
      </c>
      <c r="O15" s="19">
        <f t="shared" si="6"/>
        <v>29.576414771191494</v>
      </c>
      <c r="P15" s="19">
        <f t="shared" si="7"/>
        <v>21.249681130720536</v>
      </c>
      <c r="Q15" s="19">
        <v>29.576414771191494</v>
      </c>
      <c r="R15" s="19">
        <v>21.249681130720536</v>
      </c>
      <c r="S15" s="19">
        <f t="shared" si="3"/>
        <v>27.048610728910504</v>
      </c>
      <c r="T15" s="15">
        <v>10</v>
      </c>
      <c r="U15" s="146">
        <f t="shared" si="8"/>
        <v>40.36753413751822</v>
      </c>
      <c r="V15" s="19">
        <f t="shared" si="9"/>
        <v>48.499362261441071</v>
      </c>
    </row>
    <row r="16" spans="1:24" x14ac:dyDescent="0.25">
      <c r="A16" s="41"/>
      <c r="C16" s="17">
        <v>400</v>
      </c>
      <c r="D16" s="1">
        <f t="shared" si="10"/>
        <v>46.003551495363226</v>
      </c>
      <c r="E16" s="19">
        <f>Weighted_Index(D10:D25,7,FALSE,FALSE)</f>
        <v>40</v>
      </c>
      <c r="F16" s="33">
        <f t="shared" si="0"/>
        <v>0</v>
      </c>
      <c r="G16" s="30">
        <v>-15</v>
      </c>
      <c r="H16" s="19">
        <f t="shared" si="1"/>
        <v>-61.003551495363226</v>
      </c>
      <c r="I16" s="29">
        <f t="shared" si="4"/>
        <v>7.9367892878111698E-7</v>
      </c>
      <c r="J16" s="30">
        <v>-13</v>
      </c>
      <c r="K16" s="19">
        <f t="shared" si="2"/>
        <v>-59.003551495363226</v>
      </c>
      <c r="L16" s="26">
        <f t="shared" si="5"/>
        <v>1.2578963312250209E-6</v>
      </c>
      <c r="O16" s="19">
        <f t="shared" si="6"/>
        <v>31.651403521958727</v>
      </c>
      <c r="P16" s="19">
        <f t="shared" si="7"/>
        <v>23.030195434259419</v>
      </c>
      <c r="Q16" s="19">
        <v>31.651403521958727</v>
      </c>
      <c r="R16" s="19">
        <v>23.030195434259419</v>
      </c>
      <c r="S16" s="19">
        <f t="shared" si="3"/>
        <v>29.123599479677736</v>
      </c>
      <c r="T16" s="15">
        <v>10</v>
      </c>
      <c r="U16" s="146">
        <f t="shared" si="8"/>
        <v>46.003551495363226</v>
      </c>
      <c r="V16" s="19">
        <f t="shared" si="9"/>
        <v>52.060390868518837</v>
      </c>
    </row>
    <row r="17" spans="1:22" x14ac:dyDescent="0.25">
      <c r="A17" s="45"/>
      <c r="C17" s="20">
        <v>500</v>
      </c>
      <c r="D17" s="1">
        <f t="shared" si="10"/>
        <v>51.301914110894785</v>
      </c>
      <c r="E17" s="21">
        <f>Weighted_Index(D10:D25,8,FALSE,FALSE)</f>
        <v>41</v>
      </c>
      <c r="F17" s="33">
        <f t="shared" si="0"/>
        <v>0</v>
      </c>
      <c r="G17" s="30">
        <v>-13</v>
      </c>
      <c r="H17" s="19">
        <f t="shared" si="1"/>
        <v>-64.301914110894785</v>
      </c>
      <c r="I17" s="29">
        <f t="shared" si="4"/>
        <v>3.713715146213729E-7</v>
      </c>
      <c r="J17" s="30">
        <v>-12</v>
      </c>
      <c r="K17" s="19">
        <f t="shared" si="2"/>
        <v>-63.301914110894785</v>
      </c>
      <c r="L17" s="26">
        <f t="shared" si="5"/>
        <v>4.6752903697333663E-7</v>
      </c>
      <c r="O17" s="19">
        <f t="shared" si="6"/>
        <v>33.589603782119866</v>
      </c>
      <c r="P17" s="19">
        <f t="shared" si="7"/>
        <v>24.710276611944636</v>
      </c>
      <c r="Q17" s="19">
        <v>33.589603782119866</v>
      </c>
      <c r="R17" s="19">
        <v>24.710276611944636</v>
      </c>
      <c r="S17" s="19">
        <f t="shared" si="3"/>
        <v>31.061799739838875</v>
      </c>
      <c r="T17" s="15">
        <v>10</v>
      </c>
      <c r="U17" s="146">
        <f t="shared" si="8"/>
        <v>51.301914110894785</v>
      </c>
      <c r="V17" s="19">
        <f t="shared" si="9"/>
        <v>55.420553223889272</v>
      </c>
    </row>
    <row r="18" spans="1:22" x14ac:dyDescent="0.25">
      <c r="A18" s="41"/>
      <c r="C18" s="17">
        <v>630</v>
      </c>
      <c r="D18" s="1">
        <f t="shared" si="10"/>
        <v>56.81997288322259</v>
      </c>
      <c r="E18" s="19">
        <f>Weighted_Index(D10:D25,9,FALSE,FALSE)</f>
        <v>42</v>
      </c>
      <c r="F18" s="33">
        <f t="shared" si="0"/>
        <v>0</v>
      </c>
      <c r="G18" s="30">
        <v>-12</v>
      </c>
      <c r="H18" s="19">
        <f t="shared" si="1"/>
        <v>-68.81997288322259</v>
      </c>
      <c r="I18" s="29">
        <f t="shared" si="4"/>
        <v>1.3122080922487163E-7</v>
      </c>
      <c r="J18" s="30">
        <v>-11</v>
      </c>
      <c r="K18" s="19">
        <f t="shared" si="2"/>
        <v>-67.81997288322259</v>
      </c>
      <c r="L18" s="26">
        <f t="shared" si="5"/>
        <v>1.651972112893852E-7</v>
      </c>
      <c r="O18" s="19">
        <f t="shared" si="6"/>
        <v>35.597014684471119</v>
      </c>
      <c r="P18" s="19">
        <f t="shared" si="7"/>
        <v>26.465600546932912</v>
      </c>
      <c r="Q18" s="19">
        <v>35.597014684471119</v>
      </c>
      <c r="R18" s="19">
        <v>26.465600546932912</v>
      </c>
      <c r="S18" s="19">
        <f t="shared" si="3"/>
        <v>33.069210642190129</v>
      </c>
      <c r="T18" s="15">
        <v>10</v>
      </c>
      <c r="U18" s="146">
        <f t="shared" si="8"/>
        <v>56.81997288322259</v>
      </c>
      <c r="V18" s="19">
        <f t="shared" si="9"/>
        <v>58.931201093865823</v>
      </c>
    </row>
    <row r="19" spans="1:22" x14ac:dyDescent="0.25">
      <c r="A19" s="41"/>
      <c r="C19" s="17">
        <v>800</v>
      </c>
      <c r="D19" s="1">
        <f t="shared" si="10"/>
        <v>62.552836349505753</v>
      </c>
      <c r="E19" s="19">
        <f>Weighted_Index(D10:D25,10,FALSE,FALSE)</f>
        <v>43</v>
      </c>
      <c r="F19" s="33">
        <f t="shared" si="0"/>
        <v>0</v>
      </c>
      <c r="G19" s="30">
        <v>-11</v>
      </c>
      <c r="H19" s="19">
        <f t="shared" si="1"/>
        <v>-73.552836349505753</v>
      </c>
      <c r="I19" s="29">
        <f t="shared" si="4"/>
        <v>4.4128215466750321E-8</v>
      </c>
      <c r="J19" s="30">
        <v>-9</v>
      </c>
      <c r="K19" s="19">
        <f t="shared" si="2"/>
        <v>-71.552836349505753</v>
      </c>
      <c r="L19" s="26">
        <f t="shared" si="5"/>
        <v>6.9938508288709913E-8</v>
      </c>
      <c r="O19" s="19">
        <f t="shared" si="6"/>
        <v>37.672003435238366</v>
      </c>
      <c r="P19" s="19">
        <f t="shared" si="7"/>
        <v>28.294537904690877</v>
      </c>
      <c r="Q19" s="19">
        <v>37.672003435238366</v>
      </c>
      <c r="R19" s="19">
        <v>28.294537904690877</v>
      </c>
      <c r="S19" s="19">
        <f t="shared" si="3"/>
        <v>35.144199392957375</v>
      </c>
      <c r="T19" s="15">
        <v>10</v>
      </c>
      <c r="U19" s="146">
        <f t="shared" si="8"/>
        <v>62.552836349505753</v>
      </c>
      <c r="V19" s="19">
        <f t="shared" si="9"/>
        <v>62.589075809381754</v>
      </c>
    </row>
    <row r="20" spans="1:22" x14ac:dyDescent="0.25">
      <c r="A20" s="41"/>
      <c r="C20" s="22">
        <v>1000</v>
      </c>
      <c r="D20" s="1">
        <f t="shared" si="10"/>
        <v>67.931669955360093</v>
      </c>
      <c r="E20" s="19">
        <f>Weighted_Index(D10:D25,11,FALSE,FALSE)</f>
        <v>44</v>
      </c>
      <c r="F20" s="33">
        <f t="shared" si="0"/>
        <v>0</v>
      </c>
      <c r="G20" s="30">
        <v>-10</v>
      </c>
      <c r="H20" s="19">
        <f t="shared" si="1"/>
        <v>-77.931669955360093</v>
      </c>
      <c r="I20" s="29">
        <f t="shared" si="4"/>
        <v>1.6100264264696254E-8</v>
      </c>
      <c r="J20" s="30">
        <v>-8</v>
      </c>
      <c r="K20" s="19">
        <f t="shared" si="2"/>
        <v>-75.931669955360093</v>
      </c>
      <c r="L20" s="26">
        <f t="shared" si="5"/>
        <v>2.5517199229942072E-8</v>
      </c>
      <c r="O20" s="19">
        <f t="shared" si="6"/>
        <v>39.610203695399491</v>
      </c>
      <c r="P20" s="19">
        <f t="shared" si="7"/>
        <v>30.014854577537481</v>
      </c>
      <c r="Q20" s="19">
        <v>39.610203695399491</v>
      </c>
      <c r="R20" s="19">
        <v>30.014854577537481</v>
      </c>
      <c r="S20" s="19">
        <f t="shared" si="3"/>
        <v>37.0823996531185</v>
      </c>
      <c r="T20" s="15">
        <v>10</v>
      </c>
      <c r="U20" s="146">
        <f t="shared" si="8"/>
        <v>67.931669955360093</v>
      </c>
      <c r="V20" s="19">
        <f t="shared" si="9"/>
        <v>66.029709155074954</v>
      </c>
    </row>
    <row r="21" spans="1:22" x14ac:dyDescent="0.25">
      <c r="A21" s="41"/>
      <c r="C21" s="22">
        <v>1250</v>
      </c>
      <c r="D21" s="1">
        <f t="shared" si="10"/>
        <v>73.331325343015777</v>
      </c>
      <c r="E21" s="19">
        <f>Weighted_Index(D10:D25,12,FALSE,FALSE)</f>
        <v>45</v>
      </c>
      <c r="F21" s="33">
        <f t="shared" si="0"/>
        <v>0</v>
      </c>
      <c r="G21" s="30">
        <v>-9</v>
      </c>
      <c r="H21" s="19">
        <f t="shared" si="1"/>
        <v>-82.331325343015777</v>
      </c>
      <c r="I21" s="29">
        <f t="shared" si="4"/>
        <v>5.8461165010102694E-9</v>
      </c>
      <c r="J21" s="30">
        <v>-9</v>
      </c>
      <c r="K21" s="19">
        <f t="shared" si="2"/>
        <v>-82.331325343015777</v>
      </c>
      <c r="L21" s="26">
        <f t="shared" si="5"/>
        <v>5.8461165010102694E-9</v>
      </c>
      <c r="O21" s="19">
        <f t="shared" si="6"/>
        <v>41.548403955560616</v>
      </c>
      <c r="P21" s="19">
        <f t="shared" si="7"/>
        <v>31.74558214128475</v>
      </c>
      <c r="Q21" s="19">
        <v>41.548403955560616</v>
      </c>
      <c r="R21" s="19">
        <v>31.74558214128475</v>
      </c>
      <c r="S21" s="19">
        <f t="shared" si="3"/>
        <v>39.020599913279625</v>
      </c>
      <c r="T21" s="15">
        <v>10</v>
      </c>
      <c r="U21" s="146">
        <f t="shared" si="8"/>
        <v>73.331325343015777</v>
      </c>
      <c r="V21" s="19">
        <f t="shared" si="9"/>
        <v>69.4911642825695</v>
      </c>
    </row>
    <row r="22" spans="1:22" x14ac:dyDescent="0.25">
      <c r="A22" s="41"/>
      <c r="C22" s="22">
        <v>1600</v>
      </c>
      <c r="D22" s="1">
        <f t="shared" si="10"/>
        <v>79.326851986703332</v>
      </c>
      <c r="E22" s="19">
        <f>Weighted_Index(D10:D25,13,FALSE,FALSE)</f>
        <v>45</v>
      </c>
      <c r="F22" s="33">
        <f t="shared" si="0"/>
        <v>0</v>
      </c>
      <c r="G22" s="30">
        <v>-9</v>
      </c>
      <c r="H22" s="19">
        <f t="shared" si="1"/>
        <v>-88.326851986703332</v>
      </c>
      <c r="I22" s="29">
        <f t="shared" si="4"/>
        <v>1.4699914249098194E-9</v>
      </c>
      <c r="J22" s="30">
        <v>-10</v>
      </c>
      <c r="K22" s="19">
        <f t="shared" si="2"/>
        <v>-89.326851986703332</v>
      </c>
      <c r="L22" s="26">
        <f t="shared" si="5"/>
        <v>1.1676556936084492E-9</v>
      </c>
      <c r="O22" s="19">
        <f t="shared" si="6"/>
        <v>43.692603348517963</v>
      </c>
      <c r="P22" s="19">
        <f t="shared" si="7"/>
        <v>33.671245766649847</v>
      </c>
      <c r="Q22" s="19">
        <v>43.692603348517963</v>
      </c>
      <c r="R22" s="19">
        <v>33.671245766649847</v>
      </c>
      <c r="S22" s="19">
        <f t="shared" si="3"/>
        <v>41.164799306236986</v>
      </c>
      <c r="T22" s="15">
        <v>10</v>
      </c>
      <c r="U22" s="146">
        <f t="shared" si="8"/>
        <v>79.326851986703332</v>
      </c>
      <c r="V22" s="19">
        <f t="shared" si="9"/>
        <v>73.342491533299693</v>
      </c>
    </row>
    <row r="23" spans="1:22" x14ac:dyDescent="0.25">
      <c r="A23" s="41"/>
      <c r="C23" s="22">
        <v>2000</v>
      </c>
      <c r="D23" s="1">
        <f t="shared" si="10"/>
        <v>84.764448865693524</v>
      </c>
      <c r="E23" s="19">
        <f>Weighted_Index(D10:D25,14,FALSE,FALSE)</f>
        <v>45</v>
      </c>
      <c r="F23" s="33">
        <f t="shared" si="0"/>
        <v>0</v>
      </c>
      <c r="G23" s="30">
        <v>-9</v>
      </c>
      <c r="H23" s="19">
        <f t="shared" si="1"/>
        <v>-93.764448865693524</v>
      </c>
      <c r="I23" s="29">
        <f t="shared" si="4"/>
        <v>4.2029586125173199E-10</v>
      </c>
      <c r="J23" s="30">
        <v>-11</v>
      </c>
      <c r="K23" s="19">
        <f t="shared" si="2"/>
        <v>-95.764448865693524</v>
      </c>
      <c r="L23" s="26">
        <f t="shared" si="5"/>
        <v>2.6518876051140907E-10</v>
      </c>
      <c r="O23" s="19">
        <f t="shared" si="6"/>
        <v>45.630803608679116</v>
      </c>
      <c r="P23" s="19">
        <f t="shared" si="7"/>
        <v>35.42094407606438</v>
      </c>
      <c r="Q23" s="19">
        <v>45.630803608679116</v>
      </c>
      <c r="R23" s="19">
        <v>35.42094407606438</v>
      </c>
      <c r="S23" s="19">
        <f t="shared" si="3"/>
        <v>43.102999566398125</v>
      </c>
      <c r="T23" s="15">
        <v>10</v>
      </c>
      <c r="U23" s="146">
        <f t="shared" si="8"/>
        <v>84.764448865693524</v>
      </c>
      <c r="V23" s="19">
        <f t="shared" si="9"/>
        <v>76.84188815212876</v>
      </c>
    </row>
    <row r="24" spans="1:22" x14ac:dyDescent="0.25">
      <c r="A24" s="41"/>
      <c r="C24" s="22">
        <v>2500</v>
      </c>
      <c r="D24" s="1">
        <f t="shared" si="10"/>
        <v>90.217730849894451</v>
      </c>
      <c r="E24" s="19">
        <f>Weighted_Index(D10:D25,15,FALSE,FALSE)</f>
        <v>45</v>
      </c>
      <c r="F24" s="33">
        <f t="shared" si="0"/>
        <v>0</v>
      </c>
      <c r="G24" s="30">
        <v>-9</v>
      </c>
      <c r="H24" s="19">
        <f t="shared" si="1"/>
        <v>-99.217730849894451</v>
      </c>
      <c r="I24" s="29">
        <f t="shared" si="4"/>
        <v>1.1973659809903307E-10</v>
      </c>
      <c r="J24" s="30">
        <v>-13</v>
      </c>
      <c r="K24" s="19">
        <f t="shared" si="2"/>
        <v>-103.21773084989445</v>
      </c>
      <c r="L24" s="26">
        <f t="shared" si="5"/>
        <v>4.7667998280907321E-11</v>
      </c>
      <c r="O24" s="19">
        <f t="shared" si="6"/>
        <v>47.569003868840241</v>
      </c>
      <c r="P24" s="19">
        <f t="shared" si="7"/>
        <v>37.178484938084281</v>
      </c>
      <c r="Q24" s="19">
        <v>47.569003868840241</v>
      </c>
      <c r="R24" s="19">
        <v>37.178484938084281</v>
      </c>
      <c r="S24" s="19">
        <f t="shared" si="3"/>
        <v>45.04119982655925</v>
      </c>
      <c r="T24" s="15">
        <v>10</v>
      </c>
      <c r="U24" s="146">
        <f t="shared" si="8"/>
        <v>90.217730849894451</v>
      </c>
      <c r="V24" s="19">
        <f t="shared" si="9"/>
        <v>80.356969876168563</v>
      </c>
    </row>
    <row r="25" spans="1:22" ht="15.75" thickBot="1" x14ac:dyDescent="0.3">
      <c r="A25" s="41"/>
      <c r="C25" s="22">
        <v>3150</v>
      </c>
      <c r="D25" s="1">
        <f t="shared" si="10"/>
        <v>95.88094236620762</v>
      </c>
      <c r="E25" s="19">
        <f>Weighted_Index(D10:D25,16,FALSE,FALSE)</f>
        <v>45</v>
      </c>
      <c r="F25" s="33">
        <f t="shared" si="0"/>
        <v>0</v>
      </c>
      <c r="G25" s="30">
        <v>-9</v>
      </c>
      <c r="H25" s="19">
        <f t="shared" si="1"/>
        <v>-104.88094236620762</v>
      </c>
      <c r="I25" s="29">
        <f t="shared" si="4"/>
        <v>3.2501676504816E-11</v>
      </c>
      <c r="J25" s="30">
        <v>-15</v>
      </c>
      <c r="K25" s="19">
        <f t="shared" si="2"/>
        <v>-110.88094236620762</v>
      </c>
      <c r="L25" s="26">
        <f t="shared" si="5"/>
        <v>8.1640520213761198E-12</v>
      </c>
      <c r="O25" s="19">
        <f t="shared" si="6"/>
        <v>49.57641477119148</v>
      </c>
      <c r="P25" s="19">
        <f t="shared" si="7"/>
        <v>39.006385245065239</v>
      </c>
      <c r="Q25" s="19">
        <v>49.57641477119148</v>
      </c>
      <c r="R25" s="19">
        <v>39.006385245065239</v>
      </c>
      <c r="S25" s="19">
        <f t="shared" si="3"/>
        <v>47.048610728910504</v>
      </c>
      <c r="T25" s="15">
        <v>10</v>
      </c>
      <c r="U25" s="146">
        <f t="shared" si="8"/>
        <v>95.88094236620762</v>
      </c>
      <c r="V25" s="19">
        <f t="shared" si="9"/>
        <v>84.012770490130478</v>
      </c>
    </row>
    <row r="26" spans="1:22" ht="18.75" thickBot="1" x14ac:dyDescent="0.3">
      <c r="C26" s="2" t="s">
        <v>36</v>
      </c>
      <c r="D26" s="23">
        <f>Weighted_Index(D10:D25,0,FALSE,FALSE)</f>
        <v>41</v>
      </c>
      <c r="E26" s="39" t="s">
        <v>47</v>
      </c>
      <c r="F26" s="35">
        <f>SUM(F10:F25)</f>
        <v>31.582878492435128</v>
      </c>
      <c r="G26" s="74" t="s">
        <v>44</v>
      </c>
      <c r="H26" s="34"/>
      <c r="I26" s="36">
        <f>-10*LOG10(SUM(I10:I25))</f>
        <v>33.873481725832562</v>
      </c>
      <c r="J26" s="74" t="s">
        <v>44</v>
      </c>
      <c r="K26" s="34"/>
      <c r="L26" s="37">
        <f>-10*LOG10(SUM(L10:L25))</f>
        <v>26.784786442625087</v>
      </c>
    </row>
    <row r="27" spans="1:22" ht="15.75" thickBot="1" x14ac:dyDescent="0.3">
      <c r="C27" s="2" t="s">
        <v>45</v>
      </c>
      <c r="D27" s="38">
        <f>INT(I26+0.49999)-D26</f>
        <v>-7</v>
      </c>
      <c r="E27" t="s">
        <v>2</v>
      </c>
    </row>
    <row r="28" spans="1:22" ht="18.75" thickBot="1" x14ac:dyDescent="0.4">
      <c r="C28" s="2" t="s">
        <v>46</v>
      </c>
      <c r="D28" s="25">
        <f>INT(L26+0.49999)-D26</f>
        <v>-14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10</xdr:col>
                <xdr:colOff>323850</xdr:colOff>
                <xdr:row>2</xdr:row>
                <xdr:rowOff>47625</xdr:rowOff>
              </from>
              <to>
                <xdr:col>12</xdr:col>
                <xdr:colOff>304800</xdr:colOff>
                <xdr:row>4</xdr:row>
                <xdr:rowOff>85725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10</xdr:col>
                <xdr:colOff>371475</xdr:colOff>
                <xdr:row>4</xdr:row>
                <xdr:rowOff>95250</xdr:rowOff>
              </from>
              <to>
                <xdr:col>12</xdr:col>
                <xdr:colOff>38100</xdr:colOff>
                <xdr:row>6</xdr:row>
                <xdr:rowOff>114300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7" zoomScale="84" zoomScaleNormal="107" workbookViewId="0">
      <selection activeCell="G6" sqref="G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A2" s="62" t="s">
        <v>75</v>
      </c>
      <c r="B2" s="62" t="s">
        <v>77</v>
      </c>
      <c r="C2" s="2" t="s">
        <v>27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A3" s="78" t="s">
        <v>76</v>
      </c>
      <c r="B3" s="7"/>
      <c r="C3" s="7" t="s">
        <v>15</v>
      </c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78</v>
      </c>
      <c r="C4" s="15">
        <f>DATA!G8</f>
        <v>390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A5" s="15">
        <v>2</v>
      </c>
      <c r="B5" s="77" t="s">
        <v>79</v>
      </c>
      <c r="C5" s="15">
        <f>Door!E7</f>
        <v>18.8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41</v>
      </c>
      <c r="I5" s="94">
        <f>Door!D10</f>
        <v>10</v>
      </c>
      <c r="J5" s="19">
        <f>Door!D11</f>
        <v>10</v>
      </c>
      <c r="K5" s="19">
        <f>Door!D12</f>
        <v>24.642754755710797</v>
      </c>
      <c r="L5" s="19">
        <f>Door!D13</f>
        <v>29.774366751854075</v>
      </c>
      <c r="M5" s="19">
        <f>Door!D14</f>
        <v>34.95579050432643</v>
      </c>
      <c r="N5" s="19">
        <f>Door!D15</f>
        <v>40.36753413751822</v>
      </c>
      <c r="O5" s="19">
        <f>Door!D16</f>
        <v>46.003551495363226</v>
      </c>
      <c r="P5" s="19">
        <f>Door!D17</f>
        <v>51.301914110894785</v>
      </c>
      <c r="Q5" s="19">
        <f>Door!D18</f>
        <v>56.81997288322259</v>
      </c>
      <c r="R5" s="19">
        <f>Door!D19</f>
        <v>62.552836349505753</v>
      </c>
      <c r="S5" s="19">
        <f>Door!D20</f>
        <v>67.931669955360093</v>
      </c>
      <c r="T5" s="19">
        <f>Door!D21</f>
        <v>73.331325343015777</v>
      </c>
      <c r="U5" s="19">
        <f>Door!D22</f>
        <v>79.326851986703332</v>
      </c>
      <c r="V5" s="19">
        <f>Door!D23</f>
        <v>84.764448865693524</v>
      </c>
      <c r="W5" s="19">
        <f>Door!D24</f>
        <v>90.217730849894451</v>
      </c>
      <c r="X5" s="19">
        <f>Door!D25</f>
        <v>95.88094236620762</v>
      </c>
    </row>
    <row r="6" spans="1:24" ht="15.75" thickBot="1" x14ac:dyDescent="0.3">
      <c r="A6" s="88">
        <v>2</v>
      </c>
      <c r="B6" s="89" t="s">
        <v>80</v>
      </c>
      <c r="C6" s="111">
        <f>Window!B2</f>
        <v>25.3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ht="15.75" thickBot="1" x14ac:dyDescent="0.3">
      <c r="B7" s="112" t="s">
        <v>94</v>
      </c>
      <c r="C7" s="106">
        <f>(G4*C4+C5*G5+C6*G6)/G7</f>
        <v>349.06645161290322</v>
      </c>
      <c r="D7" s="84"/>
      <c r="E7" s="84"/>
      <c r="F7" s="84" t="s">
        <v>91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93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</row>
    <row r="10" spans="1:24" x14ac:dyDescent="0.25">
      <c r="A10" s="41"/>
      <c r="C10" s="17">
        <v>100</v>
      </c>
      <c r="D10" s="43">
        <f>-10*LOG10((1/G7)*(G4*10^(-I4/10)+G5*10^(-I5/10)+G6*10^(-I6/10)))</f>
        <v>22.316384061655413</v>
      </c>
      <c r="E10" s="18">
        <f>Weighted_Index(D10:D25,1,FALSE,FALSE)</f>
        <v>27</v>
      </c>
      <c r="F10" s="32">
        <f t="shared" ref="F10:F25" si="1">MAX(0,E10-D10)</f>
        <v>4.6836159383445874</v>
      </c>
      <c r="G10" s="30">
        <v>-29</v>
      </c>
      <c r="H10" s="19">
        <f t="shared" ref="H10:H25" si="2">G10-D10</f>
        <v>-51.316384061655413</v>
      </c>
      <c r="I10" s="29">
        <f>10^(H10/10)</f>
        <v>7.3851886545123751E-6</v>
      </c>
      <c r="J10" s="30">
        <v>-20</v>
      </c>
      <c r="K10" s="19">
        <f t="shared" ref="K10:K25" si="3">J10-D10</f>
        <v>-42.316384061655413</v>
      </c>
      <c r="L10" s="26">
        <f>10^(K10/10)</f>
        <v>5.8662638670445972E-5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22.246718161500375</v>
      </c>
      <c r="E11" s="19">
        <f>Weighted_Index(D10:D25,2,FALSE,FALSE)</f>
        <v>30</v>
      </c>
      <c r="F11" s="33">
        <f t="shared" si="1"/>
        <v>7.7532818384996247</v>
      </c>
      <c r="G11" s="30">
        <v>-26</v>
      </c>
      <c r="H11" s="19">
        <f t="shared" si="2"/>
        <v>-48.246718161500375</v>
      </c>
      <c r="I11" s="29">
        <f t="shared" ref="I11:I25" si="4">10^(H11/10)</f>
        <v>1.4973667456611337E-5</v>
      </c>
      <c r="J11" s="30">
        <v>-20</v>
      </c>
      <c r="K11" s="19">
        <f t="shared" si="3"/>
        <v>-42.246718161500375</v>
      </c>
      <c r="L11" s="26">
        <f t="shared" ref="L11:L25" si="5">10^(K11/10)</f>
        <v>5.9611243839605289E-5</v>
      </c>
    </row>
    <row r="12" spans="1:24" x14ac:dyDescent="0.25">
      <c r="A12" s="41"/>
      <c r="C12" s="17">
        <v>160</v>
      </c>
      <c r="D12" s="43">
        <f>-10*LOG10((1/G7)*(G4*10^(-K4/10)+G5*10^(-K5/10)+G6*10^(-K6/10)))</f>
        <v>32.202483530917441</v>
      </c>
      <c r="E12" s="19">
        <f>Weighted_Index(D10:D25,3,FALSE,FALSE)</f>
        <v>33</v>
      </c>
      <c r="F12" s="33">
        <f t="shared" si="1"/>
        <v>0.79751646908255935</v>
      </c>
      <c r="G12" s="30">
        <v>-23</v>
      </c>
      <c r="H12" s="19">
        <f t="shared" si="2"/>
        <v>-55.202483530917441</v>
      </c>
      <c r="I12" s="29">
        <f t="shared" si="4"/>
        <v>3.0182252422416992E-6</v>
      </c>
      <c r="J12" s="30">
        <v>-18</v>
      </c>
      <c r="K12" s="19">
        <f t="shared" si="3"/>
        <v>-50.202483530917441</v>
      </c>
      <c r="L12" s="26">
        <f t="shared" si="5"/>
        <v>9.5444662568972106E-6</v>
      </c>
    </row>
    <row r="13" spans="1:24" x14ac:dyDescent="0.25">
      <c r="A13" s="41"/>
      <c r="C13" s="17">
        <v>200</v>
      </c>
      <c r="D13" s="43">
        <f>-10*LOG10((1/G7)*(G4*10^(-L4/10)+G5*10^(-L5/10)+G6*10^(-L6/10)))</f>
        <v>32.174141538906945</v>
      </c>
      <c r="E13" s="19">
        <f>Weighted_Index(D10:D25,4,FALSE,FALSE)</f>
        <v>36</v>
      </c>
      <c r="F13" s="33">
        <f t="shared" si="1"/>
        <v>3.8258584610930555</v>
      </c>
      <c r="G13" s="30">
        <v>-21</v>
      </c>
      <c r="H13" s="19">
        <f t="shared" si="2"/>
        <v>-53.174141538906945</v>
      </c>
      <c r="I13" s="29">
        <f t="shared" si="4"/>
        <v>4.8148841943346334E-6</v>
      </c>
      <c r="J13" s="30">
        <v>-16</v>
      </c>
      <c r="K13" s="19">
        <f t="shared" si="3"/>
        <v>-48.174141538906945</v>
      </c>
      <c r="L13" s="26">
        <f t="shared" si="5"/>
        <v>1.5226000724042245E-5</v>
      </c>
    </row>
    <row r="14" spans="1:24" x14ac:dyDescent="0.25">
      <c r="A14" s="41"/>
      <c r="C14" s="17">
        <v>250</v>
      </c>
      <c r="D14" s="43">
        <f>-10*LOG10((1/G7)*(G4*10^(-M4/10)+G5*10^(-M5/10)+G6*10^(-M6/10)))</f>
        <v>36.596968041354032</v>
      </c>
      <c r="E14" s="19">
        <f>Weighted_Index(D10:D25,5,FALSE,FALSE)</f>
        <v>39</v>
      </c>
      <c r="F14" s="32">
        <f t="shared" si="1"/>
        <v>2.4030319586459683</v>
      </c>
      <c r="G14" s="30">
        <v>-19</v>
      </c>
      <c r="H14" s="19">
        <f t="shared" si="2"/>
        <v>-55.596968041354032</v>
      </c>
      <c r="I14" s="29">
        <f t="shared" si="4"/>
        <v>2.7561521961556387E-6</v>
      </c>
      <c r="J14" s="30">
        <v>-15</v>
      </c>
      <c r="K14" s="19">
        <f t="shared" si="3"/>
        <v>-51.596968041354032</v>
      </c>
      <c r="L14" s="26">
        <f t="shared" si="5"/>
        <v>6.9231413046986901E-6</v>
      </c>
      <c r="O14" t="s">
        <v>151</v>
      </c>
    </row>
    <row r="15" spans="1:24" x14ac:dyDescent="0.25">
      <c r="A15" s="41"/>
      <c r="C15" s="17">
        <v>315</v>
      </c>
      <c r="D15" s="43">
        <f>-10*LOG10((1/G7)*(G4*10^(-N4/10)+G5*10^(-N5/10)+G6*10^(-N6/10)))</f>
        <v>37.364630524391103</v>
      </c>
      <c r="E15" s="19">
        <f>Weighted_Index(D10:D25,6,FALSE,FALSE)</f>
        <v>42</v>
      </c>
      <c r="F15" s="33">
        <f t="shared" si="1"/>
        <v>4.635369475608897</v>
      </c>
      <c r="G15" s="30">
        <v>-17</v>
      </c>
      <c r="H15" s="19">
        <f t="shared" si="2"/>
        <v>-54.364630524391103</v>
      </c>
      <c r="I15" s="29">
        <f t="shared" si="4"/>
        <v>3.6604708065326263E-6</v>
      </c>
      <c r="J15" s="30">
        <v>-14</v>
      </c>
      <c r="K15" s="19">
        <f t="shared" si="3"/>
        <v>-51.364630524391103</v>
      </c>
      <c r="L15" s="26">
        <f t="shared" si="5"/>
        <v>7.3035994553183074E-6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43.315308598316527</v>
      </c>
      <c r="E16" s="19">
        <f>Weighted_Index(D10:D25,7,FALSE,FALSE)</f>
        <v>45</v>
      </c>
      <c r="F16" s="33">
        <f t="shared" si="1"/>
        <v>1.6846914016834731</v>
      </c>
      <c r="G16" s="30">
        <v>-15</v>
      </c>
      <c r="H16" s="19">
        <f t="shared" si="2"/>
        <v>-58.315308598316527</v>
      </c>
      <c r="I16" s="29">
        <f t="shared" si="4"/>
        <v>1.4739038054976606E-6</v>
      </c>
      <c r="J16" s="30">
        <v>-13</v>
      </c>
      <c r="K16" s="19">
        <f t="shared" si="3"/>
        <v>-56.315308598316527</v>
      </c>
      <c r="L16" s="26">
        <f t="shared" si="5"/>
        <v>2.3359801076757753E-6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45.881231836065233</v>
      </c>
      <c r="E17" s="21">
        <f>Weighted_Index(D10:D25,8,FALSE,FALSE)</f>
        <v>46</v>
      </c>
      <c r="F17" s="33">
        <f t="shared" si="1"/>
        <v>0.1187681639347673</v>
      </c>
      <c r="G17" s="30">
        <v>-13</v>
      </c>
      <c r="H17" s="19">
        <f t="shared" si="2"/>
        <v>-58.881231836065233</v>
      </c>
      <c r="I17" s="29">
        <f t="shared" si="4"/>
        <v>1.2938288068443247E-6</v>
      </c>
      <c r="J17" s="30">
        <v>-12</v>
      </c>
      <c r="K17" s="19">
        <f t="shared" si="3"/>
        <v>-57.881231836065233</v>
      </c>
      <c r="L17" s="26">
        <f t="shared" si="5"/>
        <v>1.6288339634476489E-6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46.361081326782241</v>
      </c>
      <c r="E18" s="19">
        <f>Weighted_Index(D10:D25,9,FALSE,FALSE)</f>
        <v>47</v>
      </c>
      <c r="F18" s="33">
        <f t="shared" si="1"/>
        <v>0.63891867321775919</v>
      </c>
      <c r="G18" s="30">
        <v>-12</v>
      </c>
      <c r="H18" s="19">
        <f t="shared" si="2"/>
        <v>-58.361081326782241</v>
      </c>
      <c r="I18" s="29">
        <f t="shared" si="4"/>
        <v>1.4584510830693462E-6</v>
      </c>
      <c r="J18" s="30">
        <v>-11</v>
      </c>
      <c r="K18" s="19">
        <f t="shared" si="3"/>
        <v>-57.361081326782241</v>
      </c>
      <c r="L18" s="26">
        <f t="shared" si="5"/>
        <v>1.8360811303347305E-6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47.619896341095533</v>
      </c>
      <c r="E19" s="19">
        <f>Weighted_Index(D10:D25,10,FALSE,FALSE)</f>
        <v>48</v>
      </c>
      <c r="F19" s="33">
        <f t="shared" si="1"/>
        <v>0.38010365890446707</v>
      </c>
      <c r="G19" s="30">
        <v>-11</v>
      </c>
      <c r="H19" s="19">
        <f t="shared" si="2"/>
        <v>-58.619896341095533</v>
      </c>
      <c r="I19" s="29">
        <f t="shared" si="4"/>
        <v>1.3740747715115647E-6</v>
      </c>
      <c r="J19" s="30">
        <v>-9</v>
      </c>
      <c r="K19" s="19">
        <f t="shared" si="3"/>
        <v>-56.619896341095533</v>
      </c>
      <c r="L19" s="26">
        <f t="shared" si="5"/>
        <v>2.1777617513012388E-6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51.412504575088207</v>
      </c>
      <c r="E20" s="19">
        <f>Weighted_Index(D10:D25,11,FALSE,FALSE)</f>
        <v>49</v>
      </c>
      <c r="F20" s="33">
        <f t="shared" si="1"/>
        <v>0</v>
      </c>
      <c r="G20" s="30">
        <v>-10</v>
      </c>
      <c r="H20" s="19">
        <f t="shared" si="2"/>
        <v>-61.412504575088207</v>
      </c>
      <c r="I20" s="29">
        <f t="shared" si="4"/>
        <v>7.2235310262151877E-7</v>
      </c>
      <c r="J20" s="30">
        <v>-8</v>
      </c>
      <c r="K20" s="19">
        <f t="shared" si="3"/>
        <v>-59.412504575088207</v>
      </c>
      <c r="L20" s="26">
        <f t="shared" si="5"/>
        <v>1.144852514898009E-6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52.201719917226221</v>
      </c>
      <c r="E21" s="19">
        <f>Weighted_Index(D10:D25,12,FALSE,FALSE)</f>
        <v>50</v>
      </c>
      <c r="F21" s="33">
        <f t="shared" si="1"/>
        <v>0</v>
      </c>
      <c r="G21" s="30">
        <v>-9</v>
      </c>
      <c r="H21" s="19">
        <f t="shared" si="2"/>
        <v>-61.201719917226221</v>
      </c>
      <c r="I21" s="29">
        <f t="shared" si="4"/>
        <v>7.5827721838599678E-7</v>
      </c>
      <c r="J21" s="30">
        <v>-9</v>
      </c>
      <c r="K21" s="19">
        <f t="shared" si="3"/>
        <v>-61.201719917226221</v>
      </c>
      <c r="L21" s="26">
        <f t="shared" si="5"/>
        <v>7.5827721838599678E-7</v>
      </c>
    </row>
    <row r="22" spans="1:12" x14ac:dyDescent="0.25">
      <c r="A22" s="41"/>
      <c r="C22" s="22">
        <v>1600</v>
      </c>
      <c r="D22" s="43">
        <f>-10*LOG10((1/G7)*(G4*10^(-U4/10)+G5*10^(-U5/10)+G6*10^(-U6/10)))</f>
        <v>52.947561378646938</v>
      </c>
      <c r="E22" s="19">
        <f>Weighted_Index(D10:D25,13,FALSE,FALSE)</f>
        <v>50</v>
      </c>
      <c r="F22" s="33">
        <f t="shared" si="1"/>
        <v>0</v>
      </c>
      <c r="G22" s="30">
        <v>-9</v>
      </c>
      <c r="H22" s="19">
        <f t="shared" si="2"/>
        <v>-61.947561378646938</v>
      </c>
      <c r="I22" s="29">
        <f t="shared" si="4"/>
        <v>6.386219802783018E-7</v>
      </c>
      <c r="J22" s="30">
        <v>-10</v>
      </c>
      <c r="K22" s="19">
        <f t="shared" si="3"/>
        <v>-62.947561378646938</v>
      </c>
      <c r="L22" s="26">
        <f t="shared" si="5"/>
        <v>5.0727547025058893E-7</v>
      </c>
    </row>
    <row r="23" spans="1:12" x14ac:dyDescent="0.25">
      <c r="A23" s="41"/>
      <c r="C23" s="22">
        <v>2000</v>
      </c>
      <c r="D23" s="43">
        <f>-10*LOG10((1/G7)*(G4*10^(-V4/10)+G5*10^(-V5/10)+G6*10^(-V6/10)))</f>
        <v>51.417552841461713</v>
      </c>
      <c r="E23" s="19">
        <f>Weighted_Index(D10:D25,14,FALSE,FALSE)</f>
        <v>50</v>
      </c>
      <c r="F23" s="33">
        <f t="shared" si="1"/>
        <v>0</v>
      </c>
      <c r="G23" s="30">
        <v>-9</v>
      </c>
      <c r="H23" s="19">
        <f t="shared" si="2"/>
        <v>-60.417552841461713</v>
      </c>
      <c r="I23" s="29">
        <f t="shared" si="4"/>
        <v>9.083322122001702E-7</v>
      </c>
      <c r="J23" s="30">
        <v>-11</v>
      </c>
      <c r="K23" s="19">
        <f t="shared" si="3"/>
        <v>-62.417552841461713</v>
      </c>
      <c r="L23" s="26">
        <f t="shared" si="5"/>
        <v>5.7311888051563877E-7</v>
      </c>
    </row>
    <row r="24" spans="1:12" x14ac:dyDescent="0.25">
      <c r="A24" s="41"/>
      <c r="C24" s="22">
        <v>2500</v>
      </c>
      <c r="D24" s="43">
        <f>-10*LOG10((1/G7)*(G4*10^(-W4/10)+G5*10^(-W5/10)+G6*10^(-W6/10)))</f>
        <v>51.417629329898915</v>
      </c>
      <c r="E24" s="19">
        <f>Weighted_Index(D10:D25,15,FALSE,FALSE)</f>
        <v>50</v>
      </c>
      <c r="F24" s="33">
        <f t="shared" si="1"/>
        <v>0</v>
      </c>
      <c r="G24" s="30">
        <v>-9</v>
      </c>
      <c r="H24" s="19">
        <f t="shared" si="2"/>
        <v>-60.417629329898915</v>
      </c>
      <c r="I24" s="29">
        <f t="shared" si="4"/>
        <v>9.0831621469100175E-7</v>
      </c>
      <c r="J24" s="30">
        <v>-13</v>
      </c>
      <c r="K24" s="19">
        <f t="shared" si="3"/>
        <v>-64.417629329898915</v>
      </c>
      <c r="L24" s="26">
        <f t="shared" si="5"/>
        <v>3.616071981984978E-7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51.41765153030812</v>
      </c>
      <c r="E25" s="19">
        <f>Weighted_Index(D10:D25,16,FALSE,FALSE)</f>
        <v>50</v>
      </c>
      <c r="F25" s="33">
        <f t="shared" si="1"/>
        <v>0</v>
      </c>
      <c r="G25" s="30">
        <v>-9</v>
      </c>
      <c r="H25" s="19">
        <f t="shared" si="2"/>
        <v>-60.41765153030812</v>
      </c>
      <c r="I25" s="29">
        <f t="shared" si="4"/>
        <v>9.0831157154195285E-7</v>
      </c>
      <c r="J25" s="30">
        <v>-15</v>
      </c>
      <c r="K25" s="19">
        <f t="shared" si="3"/>
        <v>-66.41765153030812</v>
      </c>
      <c r="L25" s="26">
        <f t="shared" si="5"/>
        <v>2.2815755121393719E-7</v>
      </c>
    </row>
    <row r="26" spans="1:12" ht="18.75" thickBot="1" x14ac:dyDescent="0.3">
      <c r="C26" s="2" t="s">
        <v>36</v>
      </c>
      <c r="D26" s="23">
        <f>Weighted_Index(D10:D25,0,FALSE,FALSE)</f>
        <v>46</v>
      </c>
      <c r="E26" s="39" t="s">
        <v>47</v>
      </c>
      <c r="F26" s="35">
        <f>SUM(F10:F25)</f>
        <v>26.921156039015159</v>
      </c>
      <c r="G26" s="74" t="s">
        <v>44</v>
      </c>
      <c r="H26" s="34"/>
      <c r="I26" s="36">
        <f>-10*LOG10(SUM(I10:I25))</f>
        <v>43.274121341642385</v>
      </c>
      <c r="J26" s="74" t="s">
        <v>44</v>
      </c>
      <c r="K26" s="34"/>
      <c r="L26" s="37">
        <f>-10*LOG10(SUM(L10:L25))</f>
        <v>37.725682938402983</v>
      </c>
    </row>
    <row r="27" spans="1:12" ht="15.75" thickBot="1" x14ac:dyDescent="0.3">
      <c r="C27" s="2" t="s">
        <v>45</v>
      </c>
      <c r="D27" s="38">
        <f>INT(I26+0.49999)-D26</f>
        <v>-3</v>
      </c>
      <c r="E27" t="s">
        <v>2</v>
      </c>
    </row>
    <row r="28" spans="1:12" ht="18.75" thickBot="1" x14ac:dyDescent="0.4">
      <c r="C28" s="2" t="s">
        <v>46</v>
      </c>
      <c r="D28" s="25">
        <f>INT(L26+0.49999)-D26</f>
        <v>-8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13" sqref="D13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B2" s="62" t="s">
        <v>75</v>
      </c>
      <c r="C2" s="62" t="s">
        <v>77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B3" s="78" t="s">
        <v>76</v>
      </c>
      <c r="C3" s="7"/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78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B5" s="15">
        <v>2</v>
      </c>
      <c r="C5" s="77" t="s">
        <v>79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41</v>
      </c>
      <c r="I5" s="94">
        <f>Door!D10</f>
        <v>10</v>
      </c>
      <c r="J5" s="19">
        <f>Door!D11</f>
        <v>10</v>
      </c>
      <c r="K5" s="19">
        <f>Door!D12</f>
        <v>24.642754755710797</v>
      </c>
      <c r="L5" s="19">
        <f>Door!D13</f>
        <v>29.774366751854075</v>
      </c>
      <c r="M5" s="19">
        <f>Door!D14</f>
        <v>34.95579050432643</v>
      </c>
      <c r="N5" s="19">
        <f>Door!D15</f>
        <v>40.36753413751822</v>
      </c>
      <c r="O5" s="19">
        <f>Door!D16</f>
        <v>46.003551495363226</v>
      </c>
      <c r="P5" s="19">
        <f>Door!D17</f>
        <v>51.301914110894785</v>
      </c>
      <c r="Q5" s="19">
        <f>Door!D18</f>
        <v>56.81997288322259</v>
      </c>
      <c r="R5" s="19">
        <f>Door!D19</f>
        <v>62.552836349505753</v>
      </c>
      <c r="S5" s="19">
        <f>Door!D20</f>
        <v>67.931669955360093</v>
      </c>
      <c r="T5" s="19">
        <f>Door!D21</f>
        <v>73.331325343015777</v>
      </c>
      <c r="U5" s="19">
        <f>Door!D22</f>
        <v>79.326851986703332</v>
      </c>
      <c r="V5" s="19">
        <f>Door!D23</f>
        <v>84.764448865693524</v>
      </c>
      <c r="W5" s="19">
        <f>Door!D24</f>
        <v>90.217730849894451</v>
      </c>
      <c r="X5" s="19">
        <f>Door!D25</f>
        <v>95.88094236620762</v>
      </c>
    </row>
    <row r="6" spans="1:24" ht="15.75" thickBot="1" x14ac:dyDescent="0.3">
      <c r="B6" s="88">
        <v>2</v>
      </c>
      <c r="C6" s="89" t="s">
        <v>80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x14ac:dyDescent="0.25">
      <c r="B7" s="85">
        <v>3</v>
      </c>
      <c r="C7" s="86" t="s">
        <v>78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54</v>
      </c>
      <c r="I7" s="97">
        <f>'Facade Wall'!D$5</f>
        <v>37</v>
      </c>
      <c r="J7" s="18">
        <f>'Facade Wall'!D6</f>
        <v>37</v>
      </c>
      <c r="K7" s="18">
        <f>'Facade Wall'!D7</f>
        <v>38.4</v>
      </c>
      <c r="L7" s="18">
        <f>'Facade Wall'!D8</f>
        <v>40</v>
      </c>
      <c r="M7" s="18">
        <f>'Facade Wall'!D9</f>
        <v>42</v>
      </c>
      <c r="N7" s="18">
        <f>'Facade Wall'!D10</f>
        <v>44.34</v>
      </c>
      <c r="O7" s="18">
        <f>'Facade Wall'!D11</f>
        <v>47.4</v>
      </c>
      <c r="P7" s="18">
        <f>'Facade Wall'!D12</f>
        <v>51</v>
      </c>
      <c r="Q7" s="18">
        <f>'Facade Wall'!D13</f>
        <v>52.82</v>
      </c>
      <c r="R7" s="18">
        <f>'Facade Wall'!D14</f>
        <v>55.2</v>
      </c>
      <c r="S7" s="18">
        <f>'Facade Wall'!D15</f>
        <v>58</v>
      </c>
      <c r="T7" s="18">
        <f>'Facade Wall'!D16</f>
        <v>58</v>
      </c>
      <c r="U7" s="18">
        <f>'Facade Wall'!D17</f>
        <v>58</v>
      </c>
      <c r="V7" s="18">
        <f>'Facade Wall'!D18</f>
        <v>58</v>
      </c>
      <c r="W7" s="98">
        <f>'Facade Wall'!D19</f>
        <v>58</v>
      </c>
      <c r="X7" s="18">
        <f>'Facade Wall'!D20</f>
        <v>58</v>
      </c>
    </row>
    <row r="8" spans="1:24" ht="15.75" thickBot="1" x14ac:dyDescent="0.3">
      <c r="B8" s="27">
        <v>3</v>
      </c>
      <c r="C8" s="15" t="s">
        <v>80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22</v>
      </c>
      <c r="J8" s="100">
        <f>Window!D6</f>
        <v>21</v>
      </c>
      <c r="K8" s="100">
        <f>Window!D7</f>
        <v>23</v>
      </c>
      <c r="L8" s="100">
        <f>Window!D8</f>
        <v>21</v>
      </c>
      <c r="M8" s="100">
        <f>Window!D9</f>
        <v>26</v>
      </c>
      <c r="N8" s="100">
        <f>Window!D10</f>
        <v>26</v>
      </c>
      <c r="O8" s="100">
        <f>Window!D11</f>
        <v>33</v>
      </c>
      <c r="P8" s="100">
        <f>Window!D12</f>
        <v>35</v>
      </c>
      <c r="Q8" s="100">
        <f>Window!D13</f>
        <v>35</v>
      </c>
      <c r="R8" s="100">
        <f>Window!D14</f>
        <v>36</v>
      </c>
      <c r="S8" s="100">
        <f>Window!D15</f>
        <v>40</v>
      </c>
      <c r="T8" s="100">
        <f>Window!D16</f>
        <v>41</v>
      </c>
      <c r="U8" s="100">
        <f>Window!D17</f>
        <v>42</v>
      </c>
      <c r="V8" s="100">
        <f>Window!D18</f>
        <v>40</v>
      </c>
      <c r="W8" s="100">
        <f>Window!D19</f>
        <v>40</v>
      </c>
      <c r="X8" s="100">
        <f>Window!D20</f>
        <v>40</v>
      </c>
    </row>
    <row r="9" spans="1:24" ht="15.75" thickBot="1" x14ac:dyDescent="0.3">
      <c r="B9" s="68"/>
      <c r="C9" s="79"/>
      <c r="D9" s="84"/>
      <c r="E9" s="84"/>
      <c r="F9" s="84" t="s">
        <v>91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93</v>
      </c>
    </row>
    <row r="11" spans="1:24" ht="45" x14ac:dyDescent="0.25">
      <c r="C11" s="65" t="s">
        <v>37</v>
      </c>
      <c r="D11" s="16" t="s">
        <v>35</v>
      </c>
      <c r="E11" s="16" t="s">
        <v>33</v>
      </c>
      <c r="F11" s="31" t="s">
        <v>34</v>
      </c>
      <c r="G11" s="30" t="s">
        <v>38</v>
      </c>
      <c r="H11" s="15" t="s">
        <v>40</v>
      </c>
      <c r="I11" s="28" t="s">
        <v>42</v>
      </c>
      <c r="J11" s="30" t="s">
        <v>39</v>
      </c>
      <c r="K11" s="15" t="s">
        <v>41</v>
      </c>
      <c r="L11" s="27" t="s">
        <v>43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24.046872842101816</v>
      </c>
      <c r="E12" s="18">
        <f>Weighted_Index(D12:D27,1,FALSE,FALSE)</f>
        <v>27</v>
      </c>
      <c r="F12" s="32">
        <f t="shared" ref="F12:F27" si="1">MAX(0,E12-D12)</f>
        <v>2.9531271578981837</v>
      </c>
      <c r="G12" s="30">
        <v>-29</v>
      </c>
      <c r="H12" s="19">
        <f t="shared" ref="H12:H27" si="2">G12-D12</f>
        <v>-53.04687284210182</v>
      </c>
      <c r="I12" s="29">
        <f>10^(H12/10)</f>
        <v>4.9580707052225358E-6</v>
      </c>
      <c r="J12" s="30">
        <v>-20</v>
      </c>
      <c r="K12" s="19">
        <f t="shared" ref="K12:K27" si="3">J12-D12</f>
        <v>-44.04687284210182</v>
      </c>
      <c r="L12" s="26">
        <f>10^(K12/10)</f>
        <v>3.9383355509175916E-5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23.925102709478452</v>
      </c>
      <c r="E13" s="19">
        <f>Weighted_Index(D12:D27,2,FALSE,FALSE)</f>
        <v>30</v>
      </c>
      <c r="F13" s="33">
        <f t="shared" si="1"/>
        <v>6.0748972905215481</v>
      </c>
      <c r="G13" s="30">
        <v>-26</v>
      </c>
      <c r="H13" s="19">
        <f t="shared" si="2"/>
        <v>-49.925102709478452</v>
      </c>
      <c r="I13" s="29">
        <f t="shared" ref="I13:I27" si="4">10^(H13/10)</f>
        <v>1.0173953047703975E-5</v>
      </c>
      <c r="J13" s="30">
        <v>-20</v>
      </c>
      <c r="K13" s="19">
        <f t="shared" si="3"/>
        <v>-43.925102709478452</v>
      </c>
      <c r="L13" s="26">
        <f t="shared" ref="L13:L27" si="5">10^(K13/10)</f>
        <v>4.0503236611655577E-5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32.309189324830847</v>
      </c>
      <c r="E14" s="19">
        <f>Weighted_Index(D12:D27,3,FALSE,FALSE)</f>
        <v>33</v>
      </c>
      <c r="F14" s="33">
        <f t="shared" si="1"/>
        <v>0.6908106751691534</v>
      </c>
      <c r="G14" s="30">
        <v>-23</v>
      </c>
      <c r="H14" s="19">
        <f t="shared" si="2"/>
        <v>-55.309189324830847</v>
      </c>
      <c r="I14" s="29">
        <f t="shared" si="4"/>
        <v>2.9449713051395277E-6</v>
      </c>
      <c r="J14" s="30">
        <v>-18</v>
      </c>
      <c r="K14" s="19">
        <f t="shared" si="3"/>
        <v>-50.309189324830847</v>
      </c>
      <c r="L14" s="26">
        <f t="shared" si="5"/>
        <v>9.3128169680796496E-6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31.743416310931462</v>
      </c>
      <c r="E15" s="19">
        <f>Weighted_Index(D12:D27,4,FALSE,FALSE)</f>
        <v>36</v>
      </c>
      <c r="F15" s="33">
        <f t="shared" si="1"/>
        <v>4.2565836890685382</v>
      </c>
      <c r="G15" s="30">
        <v>-21</v>
      </c>
      <c r="H15" s="19">
        <f t="shared" si="2"/>
        <v>-52.743416310931465</v>
      </c>
      <c r="I15" s="29">
        <f t="shared" si="4"/>
        <v>5.3168984905547804E-6</v>
      </c>
      <c r="J15" s="30">
        <v>-16</v>
      </c>
      <c r="K15" s="19">
        <f t="shared" si="3"/>
        <v>-47.743416310931465</v>
      </c>
      <c r="L15" s="26">
        <f t="shared" si="5"/>
        <v>1.6813509318064367E-5</v>
      </c>
      <c r="N15" t="s">
        <v>151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36.207221492340395</v>
      </c>
      <c r="E16" s="19">
        <f>Weighted_Index(D12:D27,5,FALSE,FALSE)</f>
        <v>39</v>
      </c>
      <c r="F16" s="32">
        <f t="shared" si="1"/>
        <v>2.7927785076596052</v>
      </c>
      <c r="G16" s="30">
        <v>-19</v>
      </c>
      <c r="H16" s="19">
        <f t="shared" si="2"/>
        <v>-55.207221492340395</v>
      </c>
      <c r="I16" s="29">
        <f t="shared" si="4"/>
        <v>3.0149342869724063E-6</v>
      </c>
      <c r="J16" s="30">
        <v>-15</v>
      </c>
      <c r="K16" s="19">
        <f t="shared" si="3"/>
        <v>-51.207221492340395</v>
      </c>
      <c r="L16" s="26">
        <f t="shared" si="5"/>
        <v>7.5731725273390094E-6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36.812956236442702</v>
      </c>
      <c r="E17" s="19">
        <f>Weighted_Index(D12:D27,6,FALSE,FALSE)</f>
        <v>42</v>
      </c>
      <c r="F17" s="33">
        <f t="shared" si="1"/>
        <v>5.1870437635572983</v>
      </c>
      <c r="G17" s="30">
        <v>-17</v>
      </c>
      <c r="H17" s="19">
        <f t="shared" si="2"/>
        <v>-53.812956236442702</v>
      </c>
      <c r="I17" s="29">
        <f t="shared" si="4"/>
        <v>4.1562759705956846E-6</v>
      </c>
      <c r="J17" s="30">
        <v>-14</v>
      </c>
      <c r="K17" s="19">
        <f t="shared" si="3"/>
        <v>-50.812956236442702</v>
      </c>
      <c r="L17" s="26">
        <f t="shared" si="5"/>
        <v>8.2928608147402638E-6</v>
      </c>
      <c r="N17" t="s">
        <v>152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42.878994910699724</v>
      </c>
      <c r="E18" s="19">
        <f>Weighted_Index(D12:D27,7,FALSE,FALSE)</f>
        <v>45</v>
      </c>
      <c r="F18" s="33">
        <f t="shared" si="1"/>
        <v>2.1210050893002759</v>
      </c>
      <c r="G18" s="30">
        <v>-15</v>
      </c>
      <c r="H18" s="19">
        <f t="shared" si="2"/>
        <v>-57.878994910699724</v>
      </c>
      <c r="I18" s="29">
        <f t="shared" si="4"/>
        <v>1.6296731448495326E-6</v>
      </c>
      <c r="J18" s="30">
        <v>-13</v>
      </c>
      <c r="K18" s="19">
        <f t="shared" si="3"/>
        <v>-55.878994910699724</v>
      </c>
      <c r="L18" s="26">
        <f t="shared" si="5"/>
        <v>2.5828578732087181E-6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45.367351657982731</v>
      </c>
      <c r="E19" s="21">
        <f>Weighted_Index(D12:D27,8,FALSE,FALSE)</f>
        <v>46</v>
      </c>
      <c r="F19" s="33">
        <f t="shared" si="1"/>
        <v>0.63264834201726927</v>
      </c>
      <c r="G19" s="30">
        <v>-13</v>
      </c>
      <c r="H19" s="19">
        <f t="shared" si="2"/>
        <v>-58.367351657982731</v>
      </c>
      <c r="I19" s="29">
        <f t="shared" si="4"/>
        <v>1.4563468949790587E-6</v>
      </c>
      <c r="J19" s="30">
        <v>-12</v>
      </c>
      <c r="K19" s="19">
        <f t="shared" si="3"/>
        <v>-57.367351657982731</v>
      </c>
      <c r="L19" s="26">
        <f t="shared" si="5"/>
        <v>1.8334321144766664E-6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45.777685444015063</v>
      </c>
      <c r="E20" s="19">
        <f>Weighted_Index(D12:D27,9,FALSE,FALSE)</f>
        <v>47</v>
      </c>
      <c r="F20" s="33">
        <f t="shared" si="1"/>
        <v>1.2223145559849371</v>
      </c>
      <c r="G20" s="30">
        <v>-12</v>
      </c>
      <c r="H20" s="19">
        <f t="shared" si="2"/>
        <v>-57.777685444015063</v>
      </c>
      <c r="I20" s="29">
        <f t="shared" si="4"/>
        <v>1.6681360024529942E-6</v>
      </c>
      <c r="J20" s="30">
        <v>-11</v>
      </c>
      <c r="K20" s="19">
        <f t="shared" si="3"/>
        <v>-56.777685444015063</v>
      </c>
      <c r="L20" s="26">
        <f t="shared" si="5"/>
        <v>2.1000588038168097E-6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47.000672477518997</v>
      </c>
      <c r="E21" s="19">
        <f>Weighted_Index(D12:D27,10,FALSE,FALSE)</f>
        <v>48</v>
      </c>
      <c r="F21" s="33">
        <f t="shared" si="1"/>
        <v>0.99932752248100343</v>
      </c>
      <c r="G21" s="30">
        <v>-11</v>
      </c>
      <c r="H21" s="19">
        <f t="shared" si="2"/>
        <v>-58.000672477518997</v>
      </c>
      <c r="I21" s="29">
        <f t="shared" si="4"/>
        <v>1.5846478007801167E-6</v>
      </c>
      <c r="J21" s="30">
        <v>-9</v>
      </c>
      <c r="K21" s="19">
        <f t="shared" si="3"/>
        <v>-56.000672477518997</v>
      </c>
      <c r="L21" s="26">
        <f t="shared" si="5"/>
        <v>2.5114975119048768E-6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50.817744474940653</v>
      </c>
      <c r="E22" s="19">
        <f>Weighted_Index(D12:D27,11,FALSE,FALSE)</f>
        <v>49</v>
      </c>
      <c r="F22" s="33">
        <f t="shared" si="1"/>
        <v>0</v>
      </c>
      <c r="G22" s="30">
        <v>-10</v>
      </c>
      <c r="H22" s="19">
        <f t="shared" si="2"/>
        <v>-60.817744474940653</v>
      </c>
      <c r="I22" s="29">
        <f t="shared" si="4"/>
        <v>8.2837227033167171E-7</v>
      </c>
      <c r="J22" s="30">
        <v>-8</v>
      </c>
      <c r="K22" s="19">
        <f t="shared" si="3"/>
        <v>-58.817744474940653</v>
      </c>
      <c r="L22" s="26">
        <f t="shared" si="5"/>
        <v>1.3128815720722233E-6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51.630391677244759</v>
      </c>
      <c r="E23" s="19">
        <f>Weighted_Index(D12:D27,12,FALSE,FALSE)</f>
        <v>50</v>
      </c>
      <c r="F23" s="33">
        <f t="shared" si="1"/>
        <v>0</v>
      </c>
      <c r="G23" s="30">
        <v>-9</v>
      </c>
      <c r="H23" s="19">
        <f t="shared" si="2"/>
        <v>-60.630391677244759</v>
      </c>
      <c r="I23" s="29">
        <f t="shared" si="4"/>
        <v>8.6488991341558328E-7</v>
      </c>
      <c r="J23" s="30">
        <v>-9</v>
      </c>
      <c r="K23" s="19">
        <f t="shared" si="3"/>
        <v>-60.630391677244759</v>
      </c>
      <c r="L23" s="26">
        <f t="shared" si="5"/>
        <v>8.6488991341558328E-7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52.404056273910413</v>
      </c>
      <c r="E24" s="19">
        <f>Weighted_Index(D12:D27,13,FALSE,FALSE)</f>
        <v>50</v>
      </c>
      <c r="F24" s="33">
        <f t="shared" si="1"/>
        <v>0</v>
      </c>
      <c r="G24" s="30">
        <v>-9</v>
      </c>
      <c r="H24" s="19">
        <f t="shared" si="2"/>
        <v>-61.404056273910413</v>
      </c>
      <c r="I24" s="29">
        <f t="shared" si="4"/>
        <v>7.2375965886417133E-7</v>
      </c>
      <c r="J24" s="30">
        <v>-10</v>
      </c>
      <c r="K24" s="19">
        <f t="shared" si="3"/>
        <v>-62.404056273910413</v>
      </c>
      <c r="L24" s="26">
        <f t="shared" si="5"/>
        <v>5.7490273219022597E-7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50.820495100061549</v>
      </c>
      <c r="E25" s="19">
        <f>Weighted_Index(D12:D27,14,FALSE,FALSE)</f>
        <v>50</v>
      </c>
      <c r="F25" s="33">
        <f t="shared" si="1"/>
        <v>0</v>
      </c>
      <c r="G25" s="30">
        <v>-9</v>
      </c>
      <c r="H25" s="19">
        <f t="shared" si="2"/>
        <v>-59.820495100061549</v>
      </c>
      <c r="I25" s="29">
        <f t="shared" si="4"/>
        <v>1.0421986109346587E-6</v>
      </c>
      <c r="J25" s="30">
        <v>-11</v>
      </c>
      <c r="K25" s="19">
        <f t="shared" si="3"/>
        <v>-61.820495100061549</v>
      </c>
      <c r="L25" s="26">
        <f t="shared" si="5"/>
        <v>6.5758286797627849E-7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50.820536764764483</v>
      </c>
      <c r="E26" s="19">
        <f>Weighted_Index(D12:D27,15,FALSE,FALSE)</f>
        <v>50</v>
      </c>
      <c r="F26" s="33">
        <f t="shared" si="1"/>
        <v>0</v>
      </c>
      <c r="G26" s="30">
        <v>-9</v>
      </c>
      <c r="H26" s="19">
        <f t="shared" si="2"/>
        <v>-59.820536764764483</v>
      </c>
      <c r="I26" s="29">
        <f t="shared" si="4"/>
        <v>1.0421886124914252E-6</v>
      </c>
      <c r="J26" s="30">
        <v>-13</v>
      </c>
      <c r="K26" s="19">
        <f t="shared" si="3"/>
        <v>-63.820536764764483</v>
      </c>
      <c r="L26" s="26">
        <f t="shared" si="5"/>
        <v>4.1490275970203726E-7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50.82054885768602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-59.82054885768602</v>
      </c>
      <c r="I27" s="29">
        <f t="shared" si="4"/>
        <v>1.0421857105232703E-6</v>
      </c>
      <c r="J27" s="30">
        <v>-15</v>
      </c>
      <c r="K27" s="19">
        <f t="shared" si="3"/>
        <v>-65.82054885768602</v>
      </c>
      <c r="L27" s="26">
        <f t="shared" si="5"/>
        <v>2.6178521453765741E-7</v>
      </c>
    </row>
    <row r="28" spans="1:14" ht="18.75" thickBot="1" x14ac:dyDescent="0.3">
      <c r="C28" s="2" t="s">
        <v>36</v>
      </c>
      <c r="D28" s="23">
        <f>Weighted_Index(D12:D27,0,FALSE,FALSE)</f>
        <v>46</v>
      </c>
      <c r="E28" s="39" t="s">
        <v>47</v>
      </c>
      <c r="F28" s="35">
        <f>SUM(F12:F27)</f>
        <v>26.930536593657813</v>
      </c>
      <c r="G28" s="74" t="s">
        <v>44</v>
      </c>
      <c r="H28" s="34"/>
      <c r="I28" s="36">
        <f>-10*LOG10(SUM(I12:I27))</f>
        <v>43.721478581785327</v>
      </c>
      <c r="J28" s="74" t="s">
        <v>44</v>
      </c>
      <c r="K28" s="34"/>
      <c r="L28" s="37">
        <f>-10*LOG10(SUM(L12:L27))</f>
        <v>38.696863603549957</v>
      </c>
    </row>
    <row r="29" spans="1:14" ht="15.75" thickBot="1" x14ac:dyDescent="0.3">
      <c r="C29" s="2" t="s">
        <v>45</v>
      </c>
      <c r="D29" s="38">
        <f>INT(I28+0.49999)-D28</f>
        <v>-2</v>
      </c>
      <c r="E29" t="s">
        <v>2</v>
      </c>
    </row>
    <row r="30" spans="1:14" ht="18.75" thickBot="1" x14ac:dyDescent="0.4">
      <c r="C30" s="2" t="s">
        <v>46</v>
      </c>
      <c r="D30" s="25">
        <f>INT(L28+0.49999)-D28</f>
        <v>-7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50</v>
      </c>
    </row>
    <row r="2" spans="1:15" ht="18.75" x14ac:dyDescent="0.35">
      <c r="A2" t="s">
        <v>52</v>
      </c>
      <c r="B2" s="4">
        <f>DATA!G10</f>
        <v>390</v>
      </c>
      <c r="C2" t="s">
        <v>15</v>
      </c>
      <c r="D2" s="44" t="s">
        <v>49</v>
      </c>
      <c r="E2" t="s">
        <v>51</v>
      </c>
      <c r="G2" s="69">
        <f>18.1*LOG10(B2) +2.9</f>
        <v>49.798269387179637</v>
      </c>
      <c r="H2" t="s">
        <v>2</v>
      </c>
      <c r="J2" t="s">
        <v>73</v>
      </c>
      <c r="K2" s="69">
        <f>D21-G2</f>
        <v>2.2017306128203629</v>
      </c>
      <c r="L2" t="s">
        <v>2</v>
      </c>
      <c r="N2" t="s">
        <v>71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70" t="s">
        <v>72</v>
      </c>
      <c r="O4" s="27" t="s">
        <v>66</v>
      </c>
    </row>
    <row r="5" spans="1:15" x14ac:dyDescent="0.25">
      <c r="A5" s="41"/>
      <c r="C5" s="17">
        <v>100</v>
      </c>
      <c r="D5" s="43">
        <v>42.9</v>
      </c>
      <c r="E5" s="18">
        <f>Weighted_Index(D5:D20,1,FALSE,FALSE)</f>
        <v>33</v>
      </c>
      <c r="F5" s="32">
        <f>MAX(0,E5-D5)</f>
        <v>0</v>
      </c>
      <c r="G5" s="30">
        <v>-29</v>
      </c>
      <c r="H5" s="19">
        <f>G5-D5</f>
        <v>-71.900000000000006</v>
      </c>
      <c r="I5" s="29">
        <f>10^(H5/10)</f>
        <v>6.4565422903465397E-8</v>
      </c>
      <c r="J5" s="30">
        <v>-20</v>
      </c>
      <c r="K5" s="19">
        <f>J5-D5</f>
        <v>-62.9</v>
      </c>
      <c r="L5" s="26">
        <f>10^(K5/10)</f>
        <v>5.1286138399136375E-7</v>
      </c>
      <c r="N5" s="15">
        <v>33</v>
      </c>
      <c r="O5" s="71">
        <f>20*LOG10(160*C5)-42.5-10*LOG10(0.23*(20*LOG10(390*C5) - 42.5))</f>
        <v>31.034776833869646</v>
      </c>
    </row>
    <row r="6" spans="1:15" x14ac:dyDescent="0.25">
      <c r="A6" s="41"/>
      <c r="C6" s="17">
        <v>125</v>
      </c>
      <c r="D6" s="43">
        <v>43.1</v>
      </c>
      <c r="E6" s="19">
        <f>Weighted_Index(D5:D20,2,FALSE,FALSE)</f>
        <v>36</v>
      </c>
      <c r="F6" s="33">
        <f>MAX(0,E6-D6)</f>
        <v>0</v>
      </c>
      <c r="G6" s="30">
        <v>-26</v>
      </c>
      <c r="H6" s="19">
        <f>G6-D6</f>
        <v>-69.099999999999994</v>
      </c>
      <c r="I6" s="29">
        <f t="shared" ref="I6:I20" si="0">10^(H6/10)</f>
        <v>1.2302687708123817E-7</v>
      </c>
      <c r="J6" s="30">
        <v>-20</v>
      </c>
      <c r="K6" s="19">
        <f>J6-D6</f>
        <v>-63.1</v>
      </c>
      <c r="L6" s="26">
        <f t="shared" ref="L6:L20" si="1">10^(K6/10)</f>
        <v>4.8977881936844524E-7</v>
      </c>
      <c r="N6" s="15">
        <v>36</v>
      </c>
      <c r="O6" s="71">
        <f t="shared" ref="O6:O20" si="2">20*LOG10(160*C6)-42.5-10*LOG10(0.23*(20*LOG10(390*C6) - 42.5))</f>
        <v>32.805578540604735</v>
      </c>
    </row>
    <row r="7" spans="1:15" x14ac:dyDescent="0.25">
      <c r="A7" s="41"/>
      <c r="C7" s="17">
        <v>160</v>
      </c>
      <c r="D7" s="43">
        <v>45.7</v>
      </c>
      <c r="E7" s="19">
        <f>Weighted_Index(D5:D20,3,FALSE,FALSE)</f>
        <v>39</v>
      </c>
      <c r="F7" s="33">
        <f t="shared" ref="F7:F20" si="3">MAX(0,E7-D7)</f>
        <v>0</v>
      </c>
      <c r="G7" s="30">
        <v>-23</v>
      </c>
      <c r="H7" s="19">
        <f t="shared" ref="H7:H20" si="4">G7-D7</f>
        <v>-68.7</v>
      </c>
      <c r="I7" s="29">
        <f t="shared" si="0"/>
        <v>1.3489628825916511E-7</v>
      </c>
      <c r="J7" s="30">
        <v>-18</v>
      </c>
      <c r="K7" s="19">
        <f t="shared" ref="K7:K20" si="5">J7-D7</f>
        <v>-63.7</v>
      </c>
      <c r="L7" s="26">
        <f t="shared" si="1"/>
        <v>4.2657951880159212E-7</v>
      </c>
      <c r="N7" s="15">
        <v>39</v>
      </c>
      <c r="O7" s="71">
        <f t="shared" si="2"/>
        <v>34.771808137912259</v>
      </c>
    </row>
    <row r="8" spans="1:15" x14ac:dyDescent="0.25">
      <c r="A8" s="41"/>
      <c r="C8" s="17">
        <v>200</v>
      </c>
      <c r="D8" s="43">
        <v>47.3</v>
      </c>
      <c r="E8" s="19">
        <f>Weighted_Index(D5:D20,4,FALSE,FALSE)</f>
        <v>42</v>
      </c>
      <c r="F8" s="33">
        <f t="shared" si="3"/>
        <v>0</v>
      </c>
      <c r="G8" s="30">
        <v>-21</v>
      </c>
      <c r="H8" s="19">
        <f t="shared" si="4"/>
        <v>-68.3</v>
      </c>
      <c r="I8" s="29">
        <f t="shared" si="0"/>
        <v>1.479108388168204E-7</v>
      </c>
      <c r="J8" s="30">
        <v>-16</v>
      </c>
      <c r="K8" s="19">
        <f t="shared" si="5"/>
        <v>-63.3</v>
      </c>
      <c r="L8" s="26">
        <f t="shared" si="1"/>
        <v>4.6773514128719735E-7</v>
      </c>
      <c r="N8" s="15">
        <v>42</v>
      </c>
      <c r="O8" s="71">
        <f>20*LOG10(160*C8)-42.5-10*LOG10(0.23*(20*LOG10(390*C8) - 42.5))</f>
        <v>36.555181177059325</v>
      </c>
    </row>
    <row r="9" spans="1:15" x14ac:dyDescent="0.25">
      <c r="A9" s="41"/>
      <c r="C9" s="17">
        <v>250</v>
      </c>
      <c r="D9" s="43">
        <v>45.4</v>
      </c>
      <c r="E9" s="19">
        <f>Weighted_Index(D5:D20,5,FALSE,FALSE)</f>
        <v>45</v>
      </c>
      <c r="F9" s="32">
        <f t="shared" si="3"/>
        <v>0</v>
      </c>
      <c r="G9" s="30">
        <v>-19</v>
      </c>
      <c r="H9" s="19">
        <f t="shared" si="4"/>
        <v>-64.400000000000006</v>
      </c>
      <c r="I9" s="29">
        <f t="shared" si="0"/>
        <v>3.6307805477010047E-7</v>
      </c>
      <c r="J9" s="30">
        <v>-15</v>
      </c>
      <c r="K9" s="19">
        <f t="shared" si="5"/>
        <v>-60.4</v>
      </c>
      <c r="L9" s="26">
        <f t="shared" si="1"/>
        <v>9.12010839355909E-7</v>
      </c>
      <c r="N9" s="15">
        <v>45</v>
      </c>
      <c r="O9" s="71">
        <f t="shared" si="2"/>
        <v>38.343884374185649</v>
      </c>
    </row>
    <row r="10" spans="1:15" x14ac:dyDescent="0.25">
      <c r="A10" s="41"/>
      <c r="C10" s="17">
        <v>315</v>
      </c>
      <c r="D10" s="43">
        <v>44.2</v>
      </c>
      <c r="E10" s="19">
        <f>Weighted_Index(D5:D20,6,FALSE,FALSE)</f>
        <v>48</v>
      </c>
      <c r="F10" s="33">
        <f t="shared" si="3"/>
        <v>3.7999999999999972</v>
      </c>
      <c r="G10" s="30">
        <v>-17</v>
      </c>
      <c r="H10" s="19">
        <f t="shared" si="4"/>
        <v>-61.2</v>
      </c>
      <c r="I10" s="29">
        <f t="shared" si="0"/>
        <v>7.585775750291823E-7</v>
      </c>
      <c r="J10" s="30">
        <v>-14</v>
      </c>
      <c r="K10" s="19">
        <f t="shared" si="5"/>
        <v>-58.2</v>
      </c>
      <c r="L10" s="26">
        <f t="shared" si="1"/>
        <v>1.5135612484362063E-6</v>
      </c>
      <c r="N10" s="15">
        <v>48</v>
      </c>
      <c r="O10" s="71">
        <f t="shared" si="2"/>
        <v>40.201700756532368</v>
      </c>
    </row>
    <row r="11" spans="1:15" x14ac:dyDescent="0.25">
      <c r="A11" s="41"/>
      <c r="C11" s="17">
        <v>400</v>
      </c>
      <c r="D11" s="43">
        <v>46.4</v>
      </c>
      <c r="E11" s="19">
        <f>Weighted_Index(D5:D20,7,FALSE,FALSE)</f>
        <v>51</v>
      </c>
      <c r="F11" s="33">
        <f t="shared" si="3"/>
        <v>4.6000000000000014</v>
      </c>
      <c r="G11" s="30">
        <v>-15</v>
      </c>
      <c r="H11" s="19">
        <f t="shared" si="4"/>
        <v>-61.4</v>
      </c>
      <c r="I11" s="29">
        <f t="shared" si="0"/>
        <v>7.2443596007499005E-7</v>
      </c>
      <c r="J11" s="30">
        <v>-13</v>
      </c>
      <c r="K11" s="19">
        <f t="shared" si="5"/>
        <v>-59.4</v>
      </c>
      <c r="L11" s="26">
        <f t="shared" si="1"/>
        <v>1.1481536214968825E-6</v>
      </c>
      <c r="N11" s="15">
        <v>51</v>
      </c>
      <c r="O11" s="71">
        <f t="shared" si="2"/>
        <v>42.127291236953681</v>
      </c>
    </row>
    <row r="12" spans="1:15" x14ac:dyDescent="0.25">
      <c r="A12" s="45"/>
      <c r="C12" s="20">
        <v>500</v>
      </c>
      <c r="D12" s="43">
        <v>47.8</v>
      </c>
      <c r="E12" s="21">
        <f>Weighted_Index(D5:D20,8,FALSE,FALSE)</f>
        <v>52</v>
      </c>
      <c r="F12" s="33">
        <f t="shared" si="3"/>
        <v>4.2000000000000028</v>
      </c>
      <c r="G12" s="30">
        <v>-13</v>
      </c>
      <c r="H12" s="19">
        <f t="shared" si="4"/>
        <v>-60.8</v>
      </c>
      <c r="I12" s="29">
        <f t="shared" si="0"/>
        <v>8.3176377110266907E-7</v>
      </c>
      <c r="J12" s="30">
        <v>-12</v>
      </c>
      <c r="K12" s="19">
        <f t="shared" si="5"/>
        <v>-59.8</v>
      </c>
      <c r="L12" s="26">
        <f t="shared" si="1"/>
        <v>1.0471285480508998E-6</v>
      </c>
      <c r="N12" s="72">
        <v>52</v>
      </c>
      <c r="O12" s="71">
        <f t="shared" si="2"/>
        <v>43.930436786783034</v>
      </c>
    </row>
    <row r="13" spans="1:15" x14ac:dyDescent="0.25">
      <c r="A13" s="41"/>
      <c r="C13" s="17">
        <v>630</v>
      </c>
      <c r="D13" s="43">
        <v>48.6</v>
      </c>
      <c r="E13" s="19">
        <f>Weighted_Index(D5:D20,9,FALSE,FALSE)</f>
        <v>53</v>
      </c>
      <c r="F13" s="33">
        <f t="shared" si="3"/>
        <v>4.3999999999999986</v>
      </c>
      <c r="G13" s="30">
        <v>-12</v>
      </c>
      <c r="H13" s="19">
        <f t="shared" si="4"/>
        <v>-60.6</v>
      </c>
      <c r="I13" s="29">
        <f t="shared" si="0"/>
        <v>8.7096358995607855E-7</v>
      </c>
      <c r="J13" s="30">
        <v>-11</v>
      </c>
      <c r="K13" s="19">
        <f t="shared" si="5"/>
        <v>-59.6</v>
      </c>
      <c r="L13" s="26">
        <f t="shared" si="1"/>
        <v>1.0964781961431832E-6</v>
      </c>
      <c r="N13" s="15">
        <v>53</v>
      </c>
      <c r="O13" s="71">
        <f t="shared" si="2"/>
        <v>45.80226158317717</v>
      </c>
    </row>
    <row r="14" spans="1:15" x14ac:dyDescent="0.25">
      <c r="A14" s="41"/>
      <c r="C14" s="17">
        <v>800</v>
      </c>
      <c r="D14" s="43">
        <v>49.4</v>
      </c>
      <c r="E14" s="19">
        <f>Weighted_Index(D5:D20,10,FALSE,FALSE)</f>
        <v>54</v>
      </c>
      <c r="F14" s="33">
        <f t="shared" si="3"/>
        <v>4.6000000000000014</v>
      </c>
      <c r="G14" s="30">
        <v>-11</v>
      </c>
      <c r="H14" s="19">
        <f t="shared" si="4"/>
        <v>-60.4</v>
      </c>
      <c r="I14" s="29">
        <f t="shared" si="0"/>
        <v>9.12010839355909E-7</v>
      </c>
      <c r="J14" s="30">
        <v>-9</v>
      </c>
      <c r="K14" s="19">
        <f t="shared" si="5"/>
        <v>-58.4</v>
      </c>
      <c r="L14" s="26">
        <f t="shared" si="1"/>
        <v>1.445439770745926E-6</v>
      </c>
      <c r="N14" s="15">
        <v>54</v>
      </c>
      <c r="O14" s="71">
        <f t="shared" si="2"/>
        <v>47.741411685271444</v>
      </c>
    </row>
    <row r="15" spans="1:15" x14ac:dyDescent="0.25">
      <c r="A15" s="41"/>
      <c r="C15" s="22">
        <v>1000</v>
      </c>
      <c r="D15" s="43">
        <v>52.6</v>
      </c>
      <c r="E15" s="19">
        <f>Weighted_Index(D5:D20,11,FALSE,FALSE)</f>
        <v>55</v>
      </c>
      <c r="F15" s="33">
        <f t="shared" si="3"/>
        <v>2.3999999999999986</v>
      </c>
      <c r="G15" s="30">
        <v>-10</v>
      </c>
      <c r="H15" s="19">
        <f t="shared" si="4"/>
        <v>-62.6</v>
      </c>
      <c r="I15" s="29">
        <f t="shared" si="0"/>
        <v>5.4954087385762417E-7</v>
      </c>
      <c r="J15" s="30">
        <v>-8</v>
      </c>
      <c r="K15" s="19">
        <f t="shared" si="5"/>
        <v>-60.6</v>
      </c>
      <c r="L15" s="26">
        <f t="shared" si="1"/>
        <v>8.7096358995607855E-7</v>
      </c>
      <c r="N15" s="15">
        <v>55</v>
      </c>
      <c r="O15" s="71">
        <f t="shared" si="2"/>
        <v>49.556454799801344</v>
      </c>
    </row>
    <row r="16" spans="1:15" x14ac:dyDescent="0.25">
      <c r="A16" s="41"/>
      <c r="C16" s="22">
        <v>1250</v>
      </c>
      <c r="D16" s="43">
        <v>54.2</v>
      </c>
      <c r="E16" s="19">
        <f>Weighted_Index(D5:D20,12,FALSE,FALSE)</f>
        <v>56</v>
      </c>
      <c r="F16" s="33">
        <f t="shared" si="3"/>
        <v>1.7999999999999972</v>
      </c>
      <c r="G16" s="30">
        <v>-9</v>
      </c>
      <c r="H16" s="19">
        <f t="shared" si="4"/>
        <v>-63.2</v>
      </c>
      <c r="I16" s="29">
        <f t="shared" si="0"/>
        <v>4.7863009232263745E-7</v>
      </c>
      <c r="J16" s="30">
        <v>-9</v>
      </c>
      <c r="K16" s="19">
        <f t="shared" si="5"/>
        <v>-63.2</v>
      </c>
      <c r="L16" s="26">
        <f t="shared" si="1"/>
        <v>4.7863009232263745E-7</v>
      </c>
      <c r="N16" s="15">
        <v>56</v>
      </c>
      <c r="O16" s="71">
        <f t="shared" si="2"/>
        <v>51.374894308733133</v>
      </c>
    </row>
    <row r="17" spans="1:15" x14ac:dyDescent="0.25">
      <c r="A17" s="41"/>
      <c r="C17" s="22">
        <v>1600</v>
      </c>
      <c r="D17" s="43">
        <v>55.7</v>
      </c>
      <c r="E17" s="19">
        <f>Weighted_Index(D5:D20,13,FALSE,FALSE)</f>
        <v>56</v>
      </c>
      <c r="F17" s="33">
        <f t="shared" si="3"/>
        <v>0.29999999999999716</v>
      </c>
      <c r="G17" s="30">
        <v>-9</v>
      </c>
      <c r="H17" s="19">
        <f t="shared" si="4"/>
        <v>-64.7</v>
      </c>
      <c r="I17" s="29">
        <f t="shared" si="0"/>
        <v>3.3884415613920184E-7</v>
      </c>
      <c r="J17" s="30">
        <v>-10</v>
      </c>
      <c r="K17" s="19">
        <f t="shared" si="5"/>
        <v>-65.7</v>
      </c>
      <c r="L17" s="26">
        <f t="shared" si="1"/>
        <v>2.691534803926908E-7</v>
      </c>
      <c r="N17" s="15">
        <v>56</v>
      </c>
      <c r="O17" s="71">
        <f t="shared" si="2"/>
        <v>53.390341915661928</v>
      </c>
    </row>
    <row r="18" spans="1:15" x14ac:dyDescent="0.25">
      <c r="A18" s="41"/>
      <c r="C18" s="22">
        <v>2000</v>
      </c>
      <c r="D18" s="43">
        <v>56.2</v>
      </c>
      <c r="E18" s="19">
        <f>Weighted_Index(D5:D20,14,FALSE,FALSE)</f>
        <v>56</v>
      </c>
      <c r="F18" s="33">
        <f t="shared" si="3"/>
        <v>0</v>
      </c>
      <c r="G18" s="30">
        <v>-9</v>
      </c>
      <c r="H18" s="19">
        <f t="shared" si="4"/>
        <v>-65.2</v>
      </c>
      <c r="I18" s="29">
        <f t="shared" si="0"/>
        <v>3.0199517204020112E-7</v>
      </c>
      <c r="J18" s="30">
        <v>-11</v>
      </c>
      <c r="K18" s="19">
        <f t="shared" si="5"/>
        <v>-67.2</v>
      </c>
      <c r="L18" s="26">
        <f t="shared" si="1"/>
        <v>1.9054607179632409E-7</v>
      </c>
      <c r="N18" s="15">
        <v>56</v>
      </c>
      <c r="O18" s="71">
        <f t="shared" si="2"/>
        <v>55.21535598221773</v>
      </c>
    </row>
    <row r="19" spans="1:15" x14ac:dyDescent="0.25">
      <c r="A19" s="41"/>
      <c r="C19" s="22">
        <v>2500</v>
      </c>
      <c r="D19" s="43">
        <v>56.7</v>
      </c>
      <c r="E19" s="19">
        <f>Weighted_Index(D5:D20,15,FALSE,FALSE)</f>
        <v>56</v>
      </c>
      <c r="F19" s="33">
        <f t="shared" si="3"/>
        <v>0</v>
      </c>
      <c r="G19" s="30">
        <v>-9</v>
      </c>
      <c r="H19" s="19">
        <f t="shared" si="4"/>
        <v>-65.7</v>
      </c>
      <c r="I19" s="29">
        <f t="shared" si="0"/>
        <v>2.691534803926908E-7</v>
      </c>
      <c r="J19" s="30">
        <v>-13</v>
      </c>
      <c r="K19" s="19">
        <f t="shared" si="5"/>
        <v>-69.7</v>
      </c>
      <c r="L19" s="26">
        <f t="shared" si="1"/>
        <v>1.0715193052376018E-7</v>
      </c>
      <c r="N19" s="15">
        <v>56</v>
      </c>
      <c r="O19" s="71">
        <f t="shared" si="2"/>
        <v>57.043245144495266</v>
      </c>
    </row>
    <row r="20" spans="1:15" ht="15.75" thickBot="1" x14ac:dyDescent="0.3">
      <c r="A20" s="41"/>
      <c r="C20" s="22">
        <v>3150</v>
      </c>
      <c r="D20" s="43">
        <v>57.9</v>
      </c>
      <c r="E20" s="19">
        <f>Weighted_Index(D5:D20,16,FALSE,FALSE)</f>
        <v>56</v>
      </c>
      <c r="F20" s="33">
        <f t="shared" si="3"/>
        <v>0</v>
      </c>
      <c r="G20" s="30">
        <v>-9</v>
      </c>
      <c r="H20" s="19">
        <f t="shared" si="4"/>
        <v>-66.900000000000006</v>
      </c>
      <c r="I20" s="29">
        <f t="shared" si="0"/>
        <v>2.0417379446695257E-7</v>
      </c>
      <c r="J20" s="30">
        <v>-15</v>
      </c>
      <c r="K20" s="19">
        <f t="shared" si="5"/>
        <v>-72.900000000000006</v>
      </c>
      <c r="L20" s="26">
        <f t="shared" si="1"/>
        <v>5.1286138399136229E-8</v>
      </c>
      <c r="N20" s="15">
        <v>56</v>
      </c>
      <c r="O20" s="71">
        <f t="shared" si="2"/>
        <v>58.939284948506476</v>
      </c>
    </row>
    <row r="21" spans="1:15" ht="18.75" thickBot="1" x14ac:dyDescent="0.3">
      <c r="C21" s="2" t="s">
        <v>36</v>
      </c>
      <c r="D21" s="23">
        <f>Weighted_Index(D5:D20,0,FALSE,FALSE)</f>
        <v>52</v>
      </c>
      <c r="E21" s="39" t="s">
        <v>47</v>
      </c>
      <c r="F21" s="35">
        <f>SUM(F5:F20)</f>
        <v>26.099999999999994</v>
      </c>
      <c r="G21" s="74" t="s">
        <v>44</v>
      </c>
      <c r="H21" s="34"/>
      <c r="I21" s="36">
        <f>-10*LOG10(SUM(I5:I20))</f>
        <v>51.503615416323463</v>
      </c>
      <c r="J21" s="74" t="s">
        <v>44</v>
      </c>
      <c r="K21" s="34"/>
      <c r="L21" s="37">
        <f>-10*LOG10(SUM(L5:L20))</f>
        <v>49.575245722313561</v>
      </c>
    </row>
    <row r="22" spans="1:15" ht="15.75" thickBot="1" x14ac:dyDescent="0.3">
      <c r="C22" s="2" t="s">
        <v>45</v>
      </c>
      <c r="D22" s="38">
        <f>INT(I21+0.49999)-D21</f>
        <v>0</v>
      </c>
      <c r="E22" t="s">
        <v>2</v>
      </c>
    </row>
    <row r="23" spans="1:15" ht="18.75" thickBot="1" x14ac:dyDescent="0.4">
      <c r="C23" s="2" t="s">
        <v>46</v>
      </c>
      <c r="D23" s="25">
        <f>INT(L21+0.49999)-D21</f>
        <v>-2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workbookViewId="0">
      <selection activeCell="L10" sqref="L10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420</v>
      </c>
      <c r="C2" t="s">
        <v>15</v>
      </c>
    </row>
    <row r="3" spans="1:12" ht="18.75" x14ac:dyDescent="0.35">
      <c r="A3" t="s">
        <v>96</v>
      </c>
      <c r="B3" s="114">
        <f>DATA!C25</f>
        <v>390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0.9285714285714286</v>
      </c>
      <c r="D4" t="s">
        <v>7</v>
      </c>
      <c r="E4" s="12">
        <f>8.7 + 17.1*B5 + 5.7*(B5^2)</f>
        <v>8.1555462812582267</v>
      </c>
      <c r="F4" t="s">
        <v>2</v>
      </c>
      <c r="G4" s="1"/>
      <c r="K4" t="s">
        <v>9</v>
      </c>
      <c r="L4" s="12">
        <f>E4</f>
        <v>8.1555462812582267</v>
      </c>
    </row>
    <row r="5" spans="1:12" ht="18" x14ac:dyDescent="0.35">
      <c r="A5" t="s">
        <v>5</v>
      </c>
      <c r="B5" s="4">
        <f>LOG10(B4)</f>
        <v>-3.2184683371401242E-2</v>
      </c>
      <c r="D5" t="s">
        <v>8</v>
      </c>
      <c r="E5" s="12">
        <f>8.7+5.7*(B5^2)</f>
        <v>8.7059043669091878</v>
      </c>
      <c r="F5" t="s">
        <v>2</v>
      </c>
      <c r="G5" s="1"/>
      <c r="K5" t="s">
        <v>10</v>
      </c>
      <c r="L5" s="12">
        <f>E5</f>
        <v>8.7059043669091878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420</v>
      </c>
      <c r="C8" t="s">
        <v>15</v>
      </c>
    </row>
    <row r="9" spans="1:12" ht="18.75" x14ac:dyDescent="0.35">
      <c r="A9" t="s">
        <v>96</v>
      </c>
      <c r="B9" s="114">
        <f>DATA!C25</f>
        <v>390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0.9285714285714286</v>
      </c>
      <c r="D10" t="s">
        <v>7</v>
      </c>
      <c r="E10" s="12">
        <f>8.7 + 17.1*B11 + 5.7*(B11^2)</f>
        <v>8.1555462812582267</v>
      </c>
      <c r="F10" t="s">
        <v>2</v>
      </c>
      <c r="G10" s="1"/>
      <c r="K10" t="s">
        <v>9</v>
      </c>
      <c r="L10" s="12">
        <f>E10</f>
        <v>8.1555462812582267</v>
      </c>
    </row>
    <row r="11" spans="1:12" ht="18" x14ac:dyDescent="0.35">
      <c r="A11" t="s">
        <v>5</v>
      </c>
      <c r="B11" s="4">
        <f>LOG10(B10)</f>
        <v>-3.2184683371401242E-2</v>
      </c>
      <c r="D11" t="s">
        <v>8</v>
      </c>
      <c r="E11" s="12">
        <f>8.7+5.7*(B11^2)</f>
        <v>8.7059043669091878</v>
      </c>
      <c r="F11" t="s">
        <v>2</v>
      </c>
      <c r="G11" s="1"/>
      <c r="K11" t="s">
        <v>10</v>
      </c>
      <c r="L11" s="12">
        <f>E11</f>
        <v>8.7059043669091878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DATA!G8</f>
        <v>390</v>
      </c>
      <c r="C14" t="s">
        <v>15</v>
      </c>
    </row>
    <row r="15" spans="1:12" ht="18.75" x14ac:dyDescent="0.35">
      <c r="A15" t="s">
        <v>96</v>
      </c>
      <c r="B15" s="114">
        <f>DATA!C25</f>
        <v>390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1</v>
      </c>
      <c r="D16" t="s">
        <v>7</v>
      </c>
      <c r="E16" s="13">
        <f>5.7 + 14.1*B17 + 5.7*(B17^2)</f>
        <v>5.7</v>
      </c>
      <c r="F16" t="s">
        <v>2</v>
      </c>
      <c r="G16" s="1"/>
      <c r="K16" t="s">
        <v>9</v>
      </c>
      <c r="L16" s="12">
        <f>E16</f>
        <v>5.7</v>
      </c>
    </row>
    <row r="17" spans="1:12" ht="18" x14ac:dyDescent="0.35">
      <c r="A17" t="s">
        <v>5</v>
      </c>
      <c r="B17" s="4">
        <f>LOG10(B16)</f>
        <v>0</v>
      </c>
      <c r="D17" t="s">
        <v>8</v>
      </c>
      <c r="E17" s="12">
        <f>5.7 + 5.7*(B17^2)</f>
        <v>5.7</v>
      </c>
      <c r="F17" t="s">
        <v>2</v>
      </c>
      <c r="G17" s="1"/>
      <c r="K17" t="s">
        <v>10</v>
      </c>
      <c r="L17" s="12">
        <f>E17</f>
        <v>5.7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390</v>
      </c>
      <c r="C20" t="s">
        <v>15</v>
      </c>
    </row>
    <row r="21" spans="1:12" ht="18.75" x14ac:dyDescent="0.35">
      <c r="A21" t="s">
        <v>96</v>
      </c>
      <c r="B21" s="114">
        <f>DATA!C25</f>
        <v>390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f>E22</f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f>E23</f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cons</vt:lpstr>
      <vt:lpstr>m_d</vt:lpstr>
      <vt:lpstr>m_s</vt:lpstr>
      <vt:lpstr>md_1</vt:lpstr>
      <vt:lpstr>md_2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2021-02-12T18:54:48Z</dcterms:modified>
</cp:coreProperties>
</file>