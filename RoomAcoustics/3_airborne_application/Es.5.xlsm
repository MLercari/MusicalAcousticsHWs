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drawings/drawing3.xml" ContentType="application/vnd.openxmlformats-officedocument.drawing+xml"/>
  <Override PartName="/xl/embeddings/oleObject10.bin" ContentType="application/vnd.openxmlformats-officedocument.oleObject"/>
  <Override PartName="/xl/drawings/drawing4.xml" ContentType="application/vnd.openxmlformats-officedocument.drawing+xml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ssio\Desktop\Acoustics\Room Acoustics\hws\2_partition\"/>
    </mc:Choice>
  </mc:AlternateContent>
  <xr:revisionPtr revIDLastSave="0" documentId="13_ncr:1_{DCF18185-EAFB-43C8-BA0A-006EC7AC5A95}" xr6:coauthVersionLast="45" xr6:coauthVersionMax="45" xr10:uidLastSave="{00000000-0000-0000-0000-000000000000}"/>
  <bookViews>
    <workbookView xWindow="-120" yWindow="-120" windowWidth="20730" windowHeight="11160" tabRatio="851" xr2:uid="{00000000-000D-0000-FFFF-FFFF00000000}"/>
  </bookViews>
  <sheets>
    <sheet name="DATA" sheetId="4" r:id="rId1"/>
    <sheet name="Floor" sheetId="12" r:id="rId2"/>
    <sheet name="Ceiling" sheetId="10" r:id="rId3"/>
    <sheet name="Facade Wall" sheetId="7" r:id="rId4"/>
    <sheet name="Window" sheetId="16" r:id="rId5"/>
    <sheet name="Door" sheetId="17" r:id="rId6"/>
    <sheet name="Facade (2)" sheetId="20" r:id="rId7"/>
    <sheet name="Full Facade" sheetId="19" r:id="rId8"/>
    <sheet name="Internal walls" sheetId="13" r:id="rId9"/>
    <sheet name="Joints" sheetId="1" r:id="rId10"/>
  </sheets>
  <functionGroups builtInGroupCount="19"/>
  <definedNames>
    <definedName name="m_d">DATA!$C$25</definedName>
    <definedName name="m_s">Door!$B$13</definedName>
    <definedName name="thick">Door!$C$12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4" l="1"/>
  <c r="D29" i="4"/>
  <c r="B14" i="1"/>
  <c r="E22" i="1" l="1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10" i="17"/>
  <c r="N7" i="12" l="1"/>
  <c r="N8" i="12"/>
  <c r="N9" i="12"/>
  <c r="N10" i="12"/>
  <c r="N6" i="12"/>
  <c r="F29" i="4" l="1"/>
  <c r="G29" i="4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5" i="13"/>
  <c r="D5" i="13" s="1"/>
  <c r="I4" i="19"/>
  <c r="E6" i="12"/>
  <c r="E8" i="12"/>
  <c r="E7" i="12"/>
  <c r="B20" i="1" l="1"/>
  <c r="B8" i="1"/>
  <c r="B2" i="1"/>
  <c r="B9" i="1" l="1"/>
  <c r="B10" i="1" s="1"/>
  <c r="B11" i="1" s="1"/>
  <c r="B15" i="1"/>
  <c r="B21" i="1"/>
  <c r="B22" i="1" s="1"/>
  <c r="B23" i="1" s="1"/>
  <c r="B3" i="1"/>
  <c r="B4" i="1" s="1"/>
  <c r="B5" i="1" s="1"/>
  <c r="C7" i="17"/>
  <c r="F15" i="4" s="1"/>
  <c r="C4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E6" i="20"/>
  <c r="D6" i="20"/>
  <c r="E5" i="20"/>
  <c r="D5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E4" i="20"/>
  <c r="D4" i="20"/>
  <c r="E23" i="1" l="1"/>
  <c r="E5" i="1"/>
  <c r="E4" i="1"/>
  <c r="E11" i="1"/>
  <c r="E10" i="1"/>
  <c r="F6" i="20"/>
  <c r="G6" i="20" s="1"/>
  <c r="F4" i="20"/>
  <c r="F5" i="20"/>
  <c r="G5" i="20" s="1"/>
  <c r="X7" i="19"/>
  <c r="X8" i="19"/>
  <c r="X6" i="19"/>
  <c r="W8" i="19"/>
  <c r="W6" i="19"/>
  <c r="V8" i="19"/>
  <c r="V6" i="19"/>
  <c r="U8" i="19"/>
  <c r="U6" i="19"/>
  <c r="T8" i="19"/>
  <c r="T6" i="19"/>
  <c r="S8" i="19"/>
  <c r="S6" i="19"/>
  <c r="R8" i="19"/>
  <c r="R6" i="19"/>
  <c r="Q8" i="19"/>
  <c r="Q6" i="19"/>
  <c r="P8" i="19"/>
  <c r="P6" i="19"/>
  <c r="O8" i="19"/>
  <c r="O6" i="19"/>
  <c r="N8" i="19"/>
  <c r="N6" i="19"/>
  <c r="M8" i="19"/>
  <c r="M6" i="19"/>
  <c r="L8" i="19"/>
  <c r="L6" i="19"/>
  <c r="K8" i="19"/>
  <c r="K6" i="19"/>
  <c r="J8" i="19"/>
  <c r="J6" i="19"/>
  <c r="I8" i="19"/>
  <c r="I6" i="19"/>
  <c r="W7" i="19"/>
  <c r="V7" i="19"/>
  <c r="U7" i="19"/>
  <c r="T7" i="19"/>
  <c r="S7" i="19"/>
  <c r="R7" i="19"/>
  <c r="Q7" i="19"/>
  <c r="P7" i="19"/>
  <c r="O7" i="19"/>
  <c r="N7" i="19"/>
  <c r="M7" i="19"/>
  <c r="L7" i="19"/>
  <c r="L4" i="19"/>
  <c r="K7" i="19"/>
  <c r="J7" i="19"/>
  <c r="I7" i="19"/>
  <c r="X4" i="19"/>
  <c r="W4" i="19"/>
  <c r="V4" i="19"/>
  <c r="U4" i="19"/>
  <c r="T4" i="19"/>
  <c r="S4" i="19"/>
  <c r="R4" i="19"/>
  <c r="Q4" i="19"/>
  <c r="P4" i="19"/>
  <c r="O4" i="19"/>
  <c r="N4" i="19"/>
  <c r="M4" i="19"/>
  <c r="K4" i="19"/>
  <c r="J4" i="19"/>
  <c r="E8" i="19"/>
  <c r="D8" i="19"/>
  <c r="E6" i="19"/>
  <c r="D6" i="19"/>
  <c r="E5" i="19"/>
  <c r="D5" i="19"/>
  <c r="E7" i="19"/>
  <c r="D7" i="19"/>
  <c r="E4" i="19"/>
  <c r="D4" i="19"/>
  <c r="G4" i="20" l="1"/>
  <c r="G7" i="20" s="1"/>
  <c r="F6" i="19"/>
  <c r="G6" i="19" s="1"/>
  <c r="F8" i="19"/>
  <c r="G8" i="19" s="1"/>
  <c r="F5" i="19"/>
  <c r="G5" i="19" s="1"/>
  <c r="F7" i="19"/>
  <c r="F4" i="19"/>
  <c r="B2" i="16"/>
  <c r="C6" i="20" s="1"/>
  <c r="K20" i="16"/>
  <c r="L20" i="16" s="1"/>
  <c r="H20" i="16"/>
  <c r="I20" i="16" s="1"/>
  <c r="K19" i="16"/>
  <c r="L19" i="16" s="1"/>
  <c r="H19" i="16"/>
  <c r="I19" i="16" s="1"/>
  <c r="K18" i="16"/>
  <c r="L18" i="16" s="1"/>
  <c r="H18" i="16"/>
  <c r="I18" i="16" s="1"/>
  <c r="K17" i="16"/>
  <c r="L17" i="16" s="1"/>
  <c r="H17" i="16"/>
  <c r="I17" i="16" s="1"/>
  <c r="K16" i="16"/>
  <c r="L16" i="16" s="1"/>
  <c r="H16" i="16"/>
  <c r="I16" i="16" s="1"/>
  <c r="K15" i="16"/>
  <c r="L15" i="16" s="1"/>
  <c r="H15" i="16"/>
  <c r="I15" i="16" s="1"/>
  <c r="K14" i="16"/>
  <c r="L14" i="16" s="1"/>
  <c r="H14" i="16"/>
  <c r="I14" i="16" s="1"/>
  <c r="K13" i="16"/>
  <c r="L13" i="16" s="1"/>
  <c r="H13" i="16"/>
  <c r="I13" i="16" s="1"/>
  <c r="K12" i="16"/>
  <c r="L12" i="16" s="1"/>
  <c r="H12" i="16"/>
  <c r="I12" i="16" s="1"/>
  <c r="K11" i="16"/>
  <c r="L11" i="16" s="1"/>
  <c r="H11" i="16"/>
  <c r="I11" i="16" s="1"/>
  <c r="K10" i="16"/>
  <c r="L10" i="16" s="1"/>
  <c r="H10" i="16"/>
  <c r="I10" i="16" s="1"/>
  <c r="K9" i="16"/>
  <c r="L9" i="16" s="1"/>
  <c r="H9" i="16"/>
  <c r="I9" i="16" s="1"/>
  <c r="K8" i="16"/>
  <c r="L8" i="16" s="1"/>
  <c r="H8" i="16"/>
  <c r="I8" i="16" s="1"/>
  <c r="K7" i="16"/>
  <c r="L7" i="16" s="1"/>
  <c r="H7" i="16"/>
  <c r="I7" i="16" s="1"/>
  <c r="K6" i="16"/>
  <c r="L6" i="16" s="1"/>
  <c r="H6" i="16"/>
  <c r="I6" i="16" s="1"/>
  <c r="K5" i="16"/>
  <c r="L5" i="16" s="1"/>
  <c r="H5" i="16"/>
  <c r="I5" i="16" s="1"/>
  <c r="B2" i="13"/>
  <c r="G2" i="13" s="1"/>
  <c r="B2" i="7"/>
  <c r="B2" i="10"/>
  <c r="B2" i="12"/>
  <c r="K10" i="12"/>
  <c r="L10" i="12" s="1"/>
  <c r="H10" i="12"/>
  <c r="I10" i="12" s="1"/>
  <c r="K9" i="12"/>
  <c r="L9" i="12" s="1"/>
  <c r="H9" i="12"/>
  <c r="I9" i="12" s="1"/>
  <c r="K8" i="12"/>
  <c r="L8" i="12" s="1"/>
  <c r="H8" i="12"/>
  <c r="I8" i="12" s="1"/>
  <c r="K7" i="12"/>
  <c r="L7" i="12" s="1"/>
  <c r="H7" i="12"/>
  <c r="I7" i="12" s="1"/>
  <c r="K6" i="12"/>
  <c r="L6" i="12" s="1"/>
  <c r="H6" i="12"/>
  <c r="I6" i="12" s="1"/>
  <c r="K7" i="10"/>
  <c r="L7" i="10" s="1"/>
  <c r="K8" i="10"/>
  <c r="L8" i="10" s="1"/>
  <c r="K9" i="10"/>
  <c r="L9" i="10" s="1"/>
  <c r="K10" i="10"/>
  <c r="L10" i="10" s="1"/>
  <c r="K6" i="10"/>
  <c r="H7" i="10"/>
  <c r="H8" i="10"/>
  <c r="I8" i="10" s="1"/>
  <c r="H9" i="10"/>
  <c r="I9" i="10" s="1"/>
  <c r="H10" i="10"/>
  <c r="I10" i="10" s="1"/>
  <c r="H6" i="10"/>
  <c r="I6" i="10" s="1"/>
  <c r="I7" i="10"/>
  <c r="L6" i="10"/>
  <c r="K6" i="7"/>
  <c r="L6" i="7" s="1"/>
  <c r="K7" i="7"/>
  <c r="L7" i="7" s="1"/>
  <c r="K8" i="7"/>
  <c r="L8" i="7" s="1"/>
  <c r="K9" i="7"/>
  <c r="L9" i="7" s="1"/>
  <c r="K10" i="7"/>
  <c r="L10" i="7" s="1"/>
  <c r="K11" i="7"/>
  <c r="L11" i="7" s="1"/>
  <c r="K12" i="7"/>
  <c r="L12" i="7" s="1"/>
  <c r="K13" i="7"/>
  <c r="L13" i="7" s="1"/>
  <c r="K14" i="7"/>
  <c r="L14" i="7" s="1"/>
  <c r="K15" i="7"/>
  <c r="L15" i="7" s="1"/>
  <c r="K16" i="7"/>
  <c r="L16" i="7" s="1"/>
  <c r="K17" i="7"/>
  <c r="L17" i="7" s="1"/>
  <c r="K18" i="7"/>
  <c r="L18" i="7" s="1"/>
  <c r="K19" i="7"/>
  <c r="L19" i="7" s="1"/>
  <c r="K20" i="7"/>
  <c r="L20" i="7" s="1"/>
  <c r="K5" i="7"/>
  <c r="L5" i="7" s="1"/>
  <c r="H6" i="7"/>
  <c r="I6" i="7" s="1"/>
  <c r="H7" i="7"/>
  <c r="I7" i="7" s="1"/>
  <c r="H8" i="7"/>
  <c r="I8" i="7" s="1"/>
  <c r="H9" i="7"/>
  <c r="I9" i="7" s="1"/>
  <c r="H10" i="7"/>
  <c r="I10" i="7" s="1"/>
  <c r="H11" i="7"/>
  <c r="I11" i="7" s="1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I19" i="7" s="1"/>
  <c r="H20" i="7"/>
  <c r="I20" i="7" s="1"/>
  <c r="H5" i="7"/>
  <c r="I5" i="7" s="1"/>
  <c r="E22" i="17"/>
  <c r="E21" i="17"/>
  <c r="E19" i="7"/>
  <c r="E6" i="7"/>
  <c r="E10" i="12"/>
  <c r="E16" i="7"/>
  <c r="E9" i="16"/>
  <c r="E14" i="7"/>
  <c r="E9" i="10"/>
  <c r="E18" i="16"/>
  <c r="E17" i="16"/>
  <c r="E16" i="16"/>
  <c r="E9" i="7"/>
  <c r="E15" i="16"/>
  <c r="E23" i="17"/>
  <c r="E11" i="16"/>
  <c r="E5" i="7"/>
  <c r="E19" i="16"/>
  <c r="E7" i="7"/>
  <c r="D12" i="12"/>
  <c r="E14" i="17"/>
  <c r="E12" i="7"/>
  <c r="E16" i="17"/>
  <c r="E6" i="16"/>
  <c r="E17" i="17"/>
  <c r="E15" i="7"/>
  <c r="E8" i="16"/>
  <c r="E14" i="16"/>
  <c r="D26" i="17"/>
  <c r="E10" i="7"/>
  <c r="E11" i="17"/>
  <c r="E18" i="17"/>
  <c r="E11" i="7"/>
  <c r="E8" i="7"/>
  <c r="E20" i="17"/>
  <c r="E13" i="16"/>
  <c r="E10" i="17"/>
  <c r="E13" i="17"/>
  <c r="E6" i="10"/>
  <c r="E19" i="17"/>
  <c r="E7" i="10"/>
  <c r="E17" i="7"/>
  <c r="E25" i="17"/>
  <c r="E10" i="10"/>
  <c r="E24" i="17"/>
  <c r="E13" i="7"/>
  <c r="D21" i="16"/>
  <c r="E20" i="7"/>
  <c r="E12" i="17"/>
  <c r="E15" i="17"/>
  <c r="E12" i="16"/>
  <c r="E7" i="16"/>
  <c r="D12" i="10"/>
  <c r="E9" i="12"/>
  <c r="D21" i="7"/>
  <c r="E20" i="16"/>
  <c r="E8" i="10"/>
  <c r="E10" i="16"/>
  <c r="E5" i="16"/>
  <c r="E18" i="7"/>
  <c r="L12" i="10" l="1"/>
  <c r="I12" i="10"/>
  <c r="D13" i="10" s="1"/>
  <c r="E7" i="17"/>
  <c r="G7" i="19"/>
  <c r="G4" i="19"/>
  <c r="H5" i="20"/>
  <c r="H5" i="19"/>
  <c r="J5" i="20"/>
  <c r="D11" i="20" s="1"/>
  <c r="J5" i="19"/>
  <c r="R5" i="20"/>
  <c r="D19" i="20" s="1"/>
  <c r="R5" i="19"/>
  <c r="K5" i="20"/>
  <c r="D12" i="20" s="1"/>
  <c r="K5" i="19"/>
  <c r="M5" i="20"/>
  <c r="D14" i="20" s="1"/>
  <c r="M5" i="19"/>
  <c r="N5" i="20"/>
  <c r="D15" i="20" s="1"/>
  <c r="N5" i="19"/>
  <c r="L5" i="20"/>
  <c r="D13" i="20" s="1"/>
  <c r="L5" i="19"/>
  <c r="T5" i="20"/>
  <c r="D21" i="20" s="1"/>
  <c r="T5" i="19"/>
  <c r="U5" i="20"/>
  <c r="D22" i="20" s="1"/>
  <c r="U5" i="19"/>
  <c r="S5" i="20"/>
  <c r="D20" i="20" s="1"/>
  <c r="S5" i="19"/>
  <c r="Q5" i="20"/>
  <c r="D18" i="20" s="1"/>
  <c r="Q5" i="19"/>
  <c r="I5" i="20"/>
  <c r="D10" i="20" s="1"/>
  <c r="I5" i="19"/>
  <c r="P5" i="20"/>
  <c r="D17" i="20" s="1"/>
  <c r="P5" i="19"/>
  <c r="H4" i="20"/>
  <c r="H4" i="19"/>
  <c r="H7" i="19"/>
  <c r="O5" i="20"/>
  <c r="D16" i="20" s="1"/>
  <c r="O5" i="19"/>
  <c r="V5" i="20"/>
  <c r="D23" i="20" s="1"/>
  <c r="V5" i="19"/>
  <c r="X5" i="20"/>
  <c r="D25" i="20" s="1"/>
  <c r="X5" i="19"/>
  <c r="H6" i="20"/>
  <c r="H8" i="19"/>
  <c r="H6" i="19"/>
  <c r="W5" i="20"/>
  <c r="D24" i="20" s="1"/>
  <c r="W5" i="19"/>
  <c r="D16" i="13"/>
  <c r="D20" i="13"/>
  <c r="D8" i="13"/>
  <c r="D12" i="13"/>
  <c r="D11" i="13"/>
  <c r="D13" i="13"/>
  <c r="D17" i="13"/>
  <c r="D9" i="13"/>
  <c r="D14" i="13"/>
  <c r="D18" i="13"/>
  <c r="D6" i="13"/>
  <c r="D10" i="13"/>
  <c r="D15" i="13"/>
  <c r="D19" i="13"/>
  <c r="D7" i="13"/>
  <c r="K24" i="17"/>
  <c r="L24" i="17" s="1"/>
  <c r="H24" i="17"/>
  <c r="I24" i="17" s="1"/>
  <c r="K16" i="17"/>
  <c r="L16" i="17" s="1"/>
  <c r="H16" i="17"/>
  <c r="I16" i="17" s="1"/>
  <c r="K20" i="17"/>
  <c r="L20" i="17" s="1"/>
  <c r="H20" i="17"/>
  <c r="I20" i="17" s="1"/>
  <c r="H12" i="17"/>
  <c r="I12" i="17" s="1"/>
  <c r="K12" i="17"/>
  <c r="L12" i="17" s="1"/>
  <c r="K19" i="17"/>
  <c r="L19" i="17" s="1"/>
  <c r="H19" i="17"/>
  <c r="I19" i="17" s="1"/>
  <c r="K11" i="17"/>
  <c r="L11" i="17" s="1"/>
  <c r="H11" i="17"/>
  <c r="I11" i="17" s="1"/>
  <c r="H18" i="17"/>
  <c r="I18" i="17" s="1"/>
  <c r="K18" i="17"/>
  <c r="L18" i="17" s="1"/>
  <c r="K25" i="17"/>
  <c r="L25" i="17" s="1"/>
  <c r="H25" i="17"/>
  <c r="I25" i="17" s="1"/>
  <c r="K17" i="17"/>
  <c r="L17" i="17" s="1"/>
  <c r="H17" i="17"/>
  <c r="I17" i="17" s="1"/>
  <c r="K23" i="17"/>
  <c r="L23" i="17" s="1"/>
  <c r="H23" i="17"/>
  <c r="I23" i="17" s="1"/>
  <c r="K15" i="17"/>
  <c r="L15" i="17" s="1"/>
  <c r="H15" i="17"/>
  <c r="I15" i="17" s="1"/>
  <c r="H22" i="17"/>
  <c r="I22" i="17" s="1"/>
  <c r="K22" i="17"/>
  <c r="L22" i="17" s="1"/>
  <c r="H14" i="17"/>
  <c r="I14" i="17" s="1"/>
  <c r="K14" i="17"/>
  <c r="L14" i="17" s="1"/>
  <c r="K21" i="17"/>
  <c r="L21" i="17" s="1"/>
  <c r="H21" i="17"/>
  <c r="I21" i="17" s="1"/>
  <c r="K13" i="17"/>
  <c r="L13" i="17" s="1"/>
  <c r="H13" i="17"/>
  <c r="I13" i="17" s="1"/>
  <c r="H10" i="17"/>
  <c r="I10" i="17" s="1"/>
  <c r="K10" i="17"/>
  <c r="L10" i="17" s="1"/>
  <c r="F11" i="17"/>
  <c r="F22" i="17"/>
  <c r="F15" i="17"/>
  <c r="F19" i="17"/>
  <c r="F23" i="17"/>
  <c r="F14" i="17"/>
  <c r="F13" i="17"/>
  <c r="F17" i="17"/>
  <c r="F21" i="17"/>
  <c r="F12" i="17"/>
  <c r="F16" i="17"/>
  <c r="F20" i="17"/>
  <c r="F24" i="17"/>
  <c r="F10" i="17"/>
  <c r="F18" i="17"/>
  <c r="F25" i="17"/>
  <c r="F11" i="16"/>
  <c r="F19" i="16"/>
  <c r="F6" i="16"/>
  <c r="F14" i="16"/>
  <c r="F18" i="16"/>
  <c r="F15" i="16"/>
  <c r="F10" i="16"/>
  <c r="F7" i="16"/>
  <c r="F5" i="16"/>
  <c r="F9" i="16"/>
  <c r="F13" i="16"/>
  <c r="F17" i="16"/>
  <c r="F8" i="16"/>
  <c r="F12" i="16"/>
  <c r="F16" i="16"/>
  <c r="F20" i="16"/>
  <c r="L21" i="16"/>
  <c r="D23" i="16" s="1"/>
  <c r="I21" i="16"/>
  <c r="D22" i="16" s="1"/>
  <c r="F9" i="12"/>
  <c r="F8" i="12"/>
  <c r="F7" i="12"/>
  <c r="F6" i="12"/>
  <c r="F10" i="12"/>
  <c r="I12" i="12"/>
  <c r="D13" i="12" s="1"/>
  <c r="L12" i="12"/>
  <c r="D14" i="12" s="1"/>
  <c r="F6" i="10"/>
  <c r="F7" i="10"/>
  <c r="F8" i="10"/>
  <c r="F9" i="10"/>
  <c r="F10" i="10"/>
  <c r="D14" i="10"/>
  <c r="L21" i="7"/>
  <c r="I21" i="7"/>
  <c r="E20" i="20"/>
  <c r="E18" i="20"/>
  <c r="E22" i="20"/>
  <c r="E13" i="20"/>
  <c r="E15" i="13"/>
  <c r="E12" i="13"/>
  <c r="E13" i="13"/>
  <c r="D21" i="13"/>
  <c r="E12" i="20"/>
  <c r="E21" i="20"/>
  <c r="E10" i="13"/>
  <c r="E24" i="20"/>
  <c r="E23" i="20"/>
  <c r="E18" i="13"/>
  <c r="E5" i="13"/>
  <c r="E19" i="20"/>
  <c r="E16" i="20"/>
  <c r="E14" i="20"/>
  <c r="E25" i="20"/>
  <c r="E14" i="13"/>
  <c r="E11" i="13"/>
  <c r="E9" i="13"/>
  <c r="E7" i="13"/>
  <c r="E6" i="13"/>
  <c r="E15" i="20"/>
  <c r="E10" i="20"/>
  <c r="E8" i="13"/>
  <c r="E20" i="13"/>
  <c r="E11" i="20"/>
  <c r="E17" i="20"/>
  <c r="E19" i="13"/>
  <c r="E17" i="13"/>
  <c r="E16" i="13"/>
  <c r="K2" i="13" l="1"/>
  <c r="K10" i="20"/>
  <c r="L10" i="20" s="1"/>
  <c r="H10" i="20"/>
  <c r="I10" i="20" s="1"/>
  <c r="F10" i="20"/>
  <c r="H21" i="20"/>
  <c r="I21" i="20" s="1"/>
  <c r="K21" i="20"/>
  <c r="L21" i="20" s="1"/>
  <c r="F21" i="20"/>
  <c r="H11" i="20"/>
  <c r="I11" i="20" s="1"/>
  <c r="K11" i="20"/>
  <c r="L11" i="20" s="1"/>
  <c r="F11" i="20"/>
  <c r="F16" i="20"/>
  <c r="H16" i="20"/>
  <c r="I16" i="20" s="1"/>
  <c r="K16" i="20"/>
  <c r="L16" i="20" s="1"/>
  <c r="K17" i="20"/>
  <c r="L17" i="20" s="1"/>
  <c r="H17" i="20"/>
  <c r="I17" i="20" s="1"/>
  <c r="F17" i="20"/>
  <c r="H22" i="20"/>
  <c r="I22" i="20" s="1"/>
  <c r="K22" i="20"/>
  <c r="L22" i="20" s="1"/>
  <c r="F22" i="20"/>
  <c r="K19" i="20"/>
  <c r="L19" i="20" s="1"/>
  <c r="H19" i="20"/>
  <c r="I19" i="20" s="1"/>
  <c r="F19" i="20"/>
  <c r="F24" i="20"/>
  <c r="H24" i="20"/>
  <c r="I24" i="20" s="1"/>
  <c r="K24" i="20"/>
  <c r="L24" i="20" s="1"/>
  <c r="F20" i="20"/>
  <c r="H20" i="20"/>
  <c r="I20" i="20" s="1"/>
  <c r="K20" i="20"/>
  <c r="L20" i="20" s="1"/>
  <c r="H15" i="20"/>
  <c r="I15" i="20" s="1"/>
  <c r="K15" i="20"/>
  <c r="L15" i="20" s="1"/>
  <c r="F15" i="20"/>
  <c r="F12" i="20"/>
  <c r="H12" i="20"/>
  <c r="I12" i="20" s="1"/>
  <c r="K12" i="20"/>
  <c r="L12" i="20" s="1"/>
  <c r="K25" i="20"/>
  <c r="L25" i="20" s="1"/>
  <c r="H25" i="20"/>
  <c r="I25" i="20" s="1"/>
  <c r="F25" i="20"/>
  <c r="K18" i="20"/>
  <c r="L18" i="20" s="1"/>
  <c r="F18" i="20"/>
  <c r="H18" i="20"/>
  <c r="I18" i="20" s="1"/>
  <c r="K13" i="20"/>
  <c r="L13" i="20" s="1"/>
  <c r="H13" i="20"/>
  <c r="I13" i="20" s="1"/>
  <c r="F13" i="20"/>
  <c r="K14" i="20"/>
  <c r="L14" i="20" s="1"/>
  <c r="F14" i="20"/>
  <c r="H14" i="20"/>
  <c r="I14" i="20" s="1"/>
  <c r="K23" i="20"/>
  <c r="L23" i="20" s="1"/>
  <c r="H23" i="20"/>
  <c r="I23" i="20" s="1"/>
  <c r="F23" i="20"/>
  <c r="G15" i="4"/>
  <c r="C5" i="20"/>
  <c r="C7" i="20" s="1"/>
  <c r="G9" i="19"/>
  <c r="F8" i="13"/>
  <c r="F15" i="13"/>
  <c r="F9" i="13"/>
  <c r="F6" i="13"/>
  <c r="F20" i="13"/>
  <c r="F24" i="13"/>
  <c r="F19" i="13"/>
  <c r="F16" i="13"/>
  <c r="F5" i="13"/>
  <c r="F17" i="13"/>
  <c r="F11" i="13"/>
  <c r="F12" i="13"/>
  <c r="F10" i="13"/>
  <c r="F13" i="13"/>
  <c r="F18" i="13"/>
  <c r="F7" i="13"/>
  <c r="F14" i="13"/>
  <c r="K7" i="13"/>
  <c r="L7" i="13" s="1"/>
  <c r="H7" i="13"/>
  <c r="I7" i="13" s="1"/>
  <c r="K12" i="13"/>
  <c r="L12" i="13" s="1"/>
  <c r="H12" i="13"/>
  <c r="I12" i="13" s="1"/>
  <c r="H19" i="13"/>
  <c r="I19" i="13" s="1"/>
  <c r="K19" i="13"/>
  <c r="L19" i="13" s="1"/>
  <c r="K18" i="13"/>
  <c r="L18" i="13" s="1"/>
  <c r="H18" i="13"/>
  <c r="I18" i="13" s="1"/>
  <c r="H17" i="13"/>
  <c r="I17" i="13" s="1"/>
  <c r="K17" i="13"/>
  <c r="L17" i="13" s="1"/>
  <c r="K8" i="13"/>
  <c r="L8" i="13" s="1"/>
  <c r="H8" i="13"/>
  <c r="I8" i="13" s="1"/>
  <c r="K6" i="13"/>
  <c r="L6" i="13" s="1"/>
  <c r="H6" i="13"/>
  <c r="I6" i="13" s="1"/>
  <c r="K15" i="13"/>
  <c r="L15" i="13" s="1"/>
  <c r="H15" i="13"/>
  <c r="I15" i="13" s="1"/>
  <c r="K14" i="13"/>
  <c r="L14" i="13" s="1"/>
  <c r="H14" i="13"/>
  <c r="I14" i="13" s="1"/>
  <c r="H13" i="13"/>
  <c r="I13" i="13" s="1"/>
  <c r="K13" i="13"/>
  <c r="L13" i="13" s="1"/>
  <c r="K20" i="13"/>
  <c r="L20" i="13" s="1"/>
  <c r="H20" i="13"/>
  <c r="I20" i="13" s="1"/>
  <c r="H5" i="13"/>
  <c r="I5" i="13" s="1"/>
  <c r="K5" i="13"/>
  <c r="L5" i="13" s="1"/>
  <c r="K10" i="13"/>
  <c r="L10" i="13" s="1"/>
  <c r="H10" i="13"/>
  <c r="I10" i="13" s="1"/>
  <c r="H9" i="13"/>
  <c r="I9" i="13" s="1"/>
  <c r="K9" i="13"/>
  <c r="L9" i="13" s="1"/>
  <c r="K11" i="13"/>
  <c r="L11" i="13" s="1"/>
  <c r="H11" i="13"/>
  <c r="I11" i="13" s="1"/>
  <c r="K16" i="13"/>
  <c r="L16" i="13" s="1"/>
  <c r="H16" i="13"/>
  <c r="I16" i="13" s="1"/>
  <c r="L26" i="17"/>
  <c r="D28" i="17" s="1"/>
  <c r="I26" i="17"/>
  <c r="D27" i="17" s="1"/>
  <c r="F26" i="17"/>
  <c r="F21" i="16"/>
  <c r="F12" i="12"/>
  <c r="F12" i="10"/>
  <c r="D22" i="7"/>
  <c r="D23" i="7"/>
  <c r="F14" i="7"/>
  <c r="F18" i="7"/>
  <c r="F7" i="7"/>
  <c r="F6" i="7"/>
  <c r="F17" i="7"/>
  <c r="F11" i="7"/>
  <c r="F9" i="7"/>
  <c r="F15" i="7"/>
  <c r="F13" i="7"/>
  <c r="F8" i="7"/>
  <c r="F10" i="7"/>
  <c r="F12" i="7"/>
  <c r="F16" i="7"/>
  <c r="F20" i="7"/>
  <c r="F19" i="7"/>
  <c r="F5" i="7"/>
  <c r="D26" i="20"/>
  <c r="D12" i="19" l="1"/>
  <c r="D25" i="19"/>
  <c r="D21" i="19"/>
  <c r="H21" i="19" s="1"/>
  <c r="I21" i="19" s="1"/>
  <c r="D27" i="19"/>
  <c r="H27" i="19" s="1"/>
  <c r="I27" i="19" s="1"/>
  <c r="D24" i="19"/>
  <c r="D20" i="19"/>
  <c r="D23" i="19"/>
  <c r="D26" i="19"/>
  <c r="H26" i="19" s="1"/>
  <c r="I26" i="19" s="1"/>
  <c r="D22" i="19"/>
  <c r="D18" i="19"/>
  <c r="D19" i="19"/>
  <c r="H19" i="19" s="1"/>
  <c r="I19" i="19" s="1"/>
  <c r="K18" i="19"/>
  <c r="L18" i="19" s="1"/>
  <c r="D14" i="19"/>
  <c r="H14" i="19" s="1"/>
  <c r="I14" i="19" s="1"/>
  <c r="D17" i="19"/>
  <c r="D13" i="19"/>
  <c r="H13" i="19" s="1"/>
  <c r="I13" i="19" s="1"/>
  <c r="D16" i="19"/>
  <c r="H16" i="19" s="1"/>
  <c r="I16" i="19" s="1"/>
  <c r="D15" i="19"/>
  <c r="H15" i="19" s="1"/>
  <c r="I15" i="19" s="1"/>
  <c r="F28" i="20"/>
  <c r="C41" i="4"/>
  <c r="B16" i="1"/>
  <c r="B17" i="1" s="1"/>
  <c r="H25" i="19"/>
  <c r="I25" i="19" s="1"/>
  <c r="K17" i="19"/>
  <c r="L17" i="19" s="1"/>
  <c r="H22" i="19"/>
  <c r="I22" i="19" s="1"/>
  <c r="H12" i="19"/>
  <c r="I12" i="19" s="1"/>
  <c r="K24" i="19"/>
  <c r="L24" i="19" s="1"/>
  <c r="H18" i="19"/>
  <c r="I18" i="19" s="1"/>
  <c r="I21" i="13"/>
  <c r="D22" i="13" s="1"/>
  <c r="F21" i="13"/>
  <c r="L21" i="13"/>
  <c r="D23" i="13" s="1"/>
  <c r="F21" i="7"/>
  <c r="E22" i="19"/>
  <c r="E20" i="19"/>
  <c r="D28" i="19"/>
  <c r="E16" i="19"/>
  <c r="E23" i="19"/>
  <c r="E18" i="19"/>
  <c r="E14" i="19"/>
  <c r="E13" i="19"/>
  <c r="E27" i="19"/>
  <c r="E24" i="19"/>
  <c r="E12" i="19"/>
  <c r="E25" i="19"/>
  <c r="E17" i="19"/>
  <c r="E15" i="19"/>
  <c r="E21" i="19"/>
  <c r="E26" i="19"/>
  <c r="E19" i="19"/>
  <c r="E17" i="1" l="1"/>
  <c r="E16" i="1"/>
  <c r="F30" i="19"/>
  <c r="J33" i="4"/>
  <c r="K14" i="19"/>
  <c r="L14" i="19" s="1"/>
  <c r="K22" i="19"/>
  <c r="L22" i="19" s="1"/>
  <c r="K13" i="19"/>
  <c r="L13" i="19" s="1"/>
  <c r="K25" i="19"/>
  <c r="L25" i="19" s="1"/>
  <c r="K19" i="19"/>
  <c r="L19" i="19" s="1"/>
  <c r="H17" i="19"/>
  <c r="I17" i="19" s="1"/>
  <c r="K27" i="19"/>
  <c r="L27" i="19" s="1"/>
  <c r="K16" i="19"/>
  <c r="L16" i="19" s="1"/>
  <c r="K21" i="19"/>
  <c r="L21" i="19" s="1"/>
  <c r="K15" i="19"/>
  <c r="L15" i="19" s="1"/>
  <c r="K26" i="19"/>
  <c r="L26" i="19" s="1"/>
  <c r="K12" i="19"/>
  <c r="L12" i="19" s="1"/>
  <c r="H24" i="19"/>
  <c r="I24" i="19" s="1"/>
  <c r="F13" i="19"/>
  <c r="F17" i="19"/>
  <c r="F23" i="19"/>
  <c r="F21" i="19"/>
  <c r="F19" i="19"/>
  <c r="F12" i="19"/>
  <c r="F22" i="19"/>
  <c r="F26" i="19"/>
  <c r="F20" i="19"/>
  <c r="F27" i="19"/>
  <c r="F25" i="19"/>
  <c r="F15" i="19"/>
  <c r="F14" i="19"/>
  <c r="F18" i="19"/>
  <c r="F16" i="19"/>
  <c r="F24" i="19"/>
  <c r="K23" i="19"/>
  <c r="L23" i="19" s="1"/>
  <c r="H23" i="19"/>
  <c r="I23" i="19" s="1"/>
  <c r="K20" i="19"/>
  <c r="L20" i="19" s="1"/>
  <c r="H20" i="19"/>
  <c r="I20" i="19" s="1"/>
  <c r="I28" i="19" l="1"/>
  <c r="D29" i="19" s="1"/>
  <c r="L28" i="19"/>
  <c r="D30" i="19" s="1"/>
  <c r="F28" i="19"/>
  <c r="D46" i="4" l="1"/>
  <c r="L26" i="20" l="1"/>
  <c r="D28" i="20" s="1"/>
  <c r="F26" i="20"/>
  <c r="I26" i="20"/>
  <c r="D27" i="20" s="1"/>
</calcChain>
</file>

<file path=xl/sharedStrings.xml><?xml version="1.0" encoding="utf-8"?>
<sst xmlns="http://schemas.openxmlformats.org/spreadsheetml/2006/main" count="407" uniqueCount="161">
  <si>
    <t>Rigid cross junction</t>
  </si>
  <si>
    <t>Rigid T junction</t>
  </si>
  <si>
    <t>dB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</si>
  <si>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</si>
  <si>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f</t>
    </r>
  </si>
  <si>
    <t>M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</si>
  <si>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/m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</si>
  <si>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13</t>
    </r>
  </si>
  <si>
    <r>
      <t>K</t>
    </r>
    <r>
      <rPr>
        <vertAlign val="subscript"/>
        <sz val="11"/>
        <color theme="1"/>
        <rFont val="Calibri"/>
        <family val="2"/>
        <scheme val="minor"/>
      </rPr>
      <t>12</t>
    </r>
  </si>
  <si>
    <r>
      <t>K</t>
    </r>
    <r>
      <rPr>
        <vertAlign val="subscript"/>
        <sz val="11"/>
        <color theme="1"/>
        <rFont val="Calibri"/>
        <family val="2"/>
        <scheme val="minor"/>
      </rPr>
      <t>Ff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</si>
  <si>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=K</t>
    </r>
    <r>
      <rPr>
        <vertAlign val="subscript"/>
        <sz val="11"/>
        <color theme="1"/>
        <rFont val="Calibri"/>
        <family val="2"/>
        <scheme val="minor"/>
      </rPr>
      <t>Fd</t>
    </r>
    <r>
      <rPr>
        <sz val="11"/>
        <color theme="1"/>
        <rFont val="Calibri"/>
        <family val="2"/>
        <scheme val="minor"/>
      </rPr>
      <t>=</t>
    </r>
  </si>
  <si>
    <t>Facade</t>
  </si>
  <si>
    <t>Internal wall</t>
  </si>
  <si>
    <t>Floor</t>
  </si>
  <si>
    <t>Ceiling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</si>
  <si>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</si>
  <si>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t>m</t>
  </si>
  <si>
    <t>JUNCTIONS</t>
  </si>
  <si>
    <r>
      <t>R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 xml:space="preserve"> (dB)</t>
    </r>
  </si>
  <si>
    <r>
      <t>m’</t>
    </r>
    <r>
      <rPr>
        <vertAlign val="subscript"/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/m’</t>
    </r>
    <r>
      <rPr>
        <vertAlign val="subscript"/>
        <sz val="11"/>
        <color theme="1"/>
        <rFont val="Calibri"/>
        <family val="2"/>
      </rPr>
      <t>f</t>
    </r>
  </si>
  <si>
    <r>
      <t>K</t>
    </r>
    <r>
      <rPr>
        <vertAlign val="subscript"/>
        <sz val="11"/>
        <color theme="1"/>
        <rFont val="Calibri"/>
        <family val="2"/>
      </rPr>
      <t>Ff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</si>
  <si>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>Fd</t>
    </r>
    <r>
      <rPr>
        <sz val="11"/>
        <color theme="1"/>
        <rFont val="Calibri"/>
        <family val="2"/>
      </rPr>
      <t xml:space="preserve"> (dB)</t>
    </r>
  </si>
  <si>
    <r>
      <t>K</t>
    </r>
    <r>
      <rPr>
        <vertAlign val="subscript"/>
        <sz val="11"/>
        <color theme="1"/>
        <rFont val="Calibri"/>
        <family val="2"/>
      </rPr>
      <t xml:space="preserve">Df </t>
    </r>
    <r>
      <rPr>
        <sz val="11"/>
        <color theme="1"/>
        <rFont val="Calibri"/>
        <family val="2"/>
      </rPr>
      <t>(dB)</t>
    </r>
  </si>
  <si>
    <t>SEPARATING ELEMENT</t>
  </si>
  <si>
    <t>FLANKING ELEMENTS</t>
  </si>
  <si>
    <t>Width</t>
  </si>
  <si>
    <t>Thickness</t>
  </si>
  <si>
    <t>Areic Mass</t>
  </si>
  <si>
    <t>Hight</t>
  </si>
  <si>
    <r>
      <t>m</t>
    </r>
    <r>
      <rPr>
        <sz val="11"/>
        <color theme="1"/>
        <rFont val="Calibri"/>
        <family val="2"/>
      </rPr>
      <t>’ (kg/m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</si>
  <si>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Material</t>
  </si>
  <si>
    <t>concrete</t>
  </si>
  <si>
    <t>Wall between A and B</t>
  </si>
  <si>
    <t>DATA</t>
  </si>
  <si>
    <t>repositioned reference curve</t>
  </si>
  <si>
    <t>Dev.</t>
  </si>
  <si>
    <t>Componet sperimental curve</t>
  </si>
  <si>
    <t>W.Index</t>
  </si>
  <si>
    <t xml:space="preserve">Frequency  Hz </t>
  </si>
  <si>
    <t>Spectr. N.1</t>
  </si>
  <si>
    <t>Spectr. N.2</t>
  </si>
  <si>
    <r>
      <t>C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i1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</si>
  <si>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>=L</t>
    </r>
    <r>
      <rPr>
        <vertAlign val="subscript"/>
        <sz val="11"/>
        <color theme="1"/>
        <rFont val="Calibri"/>
        <family val="2"/>
        <scheme val="minor"/>
      </rPr>
      <t>i2</t>
    </r>
    <r>
      <rPr>
        <sz val="11"/>
        <color theme="1"/>
        <rFont val="Calibri"/>
        <family val="2"/>
        <scheme val="minor"/>
      </rPr>
      <t xml:space="preserve"> - R</t>
    </r>
    <r>
      <rPr>
        <vertAlign val="subscript"/>
        <sz val="11"/>
        <color theme="1"/>
        <rFont val="Calibri"/>
        <family val="2"/>
        <scheme val="minor"/>
      </rPr>
      <t>i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</si>
  <si>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Ci1/10</t>
    </r>
  </si>
  <si>
    <r>
      <t>10</t>
    </r>
    <r>
      <rPr>
        <vertAlign val="superscript"/>
        <sz val="11"/>
        <color theme="1"/>
        <rFont val="Calibri"/>
        <family val="2"/>
        <scheme val="minor"/>
      </rPr>
      <t>Ci2/10</t>
    </r>
  </si>
  <si>
    <r>
      <t xml:space="preserve">  -10 log</t>
    </r>
    <r>
      <rPr>
        <vertAlign val="subscript"/>
        <sz val="11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Ci1/10</t>
    </r>
    <r>
      <rPr>
        <sz val="11"/>
        <color theme="1"/>
        <rFont val="Calibri"/>
        <family val="2"/>
        <scheme val="minor"/>
      </rPr>
      <t>) =</t>
    </r>
  </si>
  <si>
    <t>C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</si>
  <si>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tr</t>
    </r>
  </si>
  <si>
    <t>dB   Residual</t>
  </si>
  <si>
    <t>Facade Wall</t>
  </si>
  <si>
    <t>input data</t>
  </si>
  <si>
    <t>Internal walls</t>
  </si>
  <si>
    <r>
      <t>R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 xml:space="preserve"> = 18.1 log</t>
    </r>
    <r>
      <rPr>
        <vertAlign val="subscript"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(m')+2.9</t>
    </r>
  </si>
  <si>
    <t>m'=</t>
  </si>
  <si>
    <t>Door</t>
  </si>
  <si>
    <t>Window</t>
  </si>
  <si>
    <t>Other elements</t>
  </si>
  <si>
    <t>layer</t>
  </si>
  <si>
    <t>Steel</t>
  </si>
  <si>
    <t>mass dens.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</si>
  <si>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</si>
  <si>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areic mass</t>
  </si>
  <si>
    <t>rockwool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</si>
  <si>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</si>
  <si>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</si>
  <si>
    <t>Hz</t>
  </si>
  <si>
    <r>
      <t>R</t>
    </r>
    <r>
      <rPr>
        <vertAlign val="subscript"/>
        <sz val="11"/>
        <color theme="1"/>
        <rFont val="Calibri"/>
        <family val="2"/>
        <scheme val="minor"/>
      </rPr>
      <t>n1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</si>
  <si>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</si>
  <si>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R</t>
    </r>
    <r>
      <rPr>
        <vertAlign val="subscript"/>
        <sz val="11"/>
        <color theme="1"/>
        <rFont val="Calibri"/>
        <family val="2"/>
        <scheme val="minor"/>
      </rPr>
      <t>n2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</si>
  <si>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</si>
  <si>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t>R</t>
  </si>
  <si>
    <r>
      <t>f&lt;2/3 f</t>
    </r>
    <r>
      <rPr>
        <vertAlign val="subscript"/>
        <sz val="11"/>
        <color theme="1"/>
        <rFont val="Calibri"/>
        <family val="2"/>
        <scheme val="minor"/>
      </rPr>
      <t>0</t>
    </r>
  </si>
  <si>
    <r>
      <t>2/3 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0</t>
    </r>
  </si>
  <si>
    <r>
      <t>f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&lt;f&lt;f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</si>
  <si>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&lt;=f</t>
    </r>
  </si>
  <si>
    <t>using the refercence curve the frequency response is:</t>
  </si>
  <si>
    <t>Reference curve</t>
  </si>
  <si>
    <t>The shift is</t>
  </si>
  <si>
    <t>Full Facade</t>
  </si>
  <si>
    <t>Element</t>
  </si>
  <si>
    <t>N°</t>
  </si>
  <si>
    <t>Name</t>
  </si>
  <si>
    <t>wall</t>
  </si>
  <si>
    <t>door</t>
  </si>
  <si>
    <t>window</t>
  </si>
  <si>
    <t>height</t>
  </si>
  <si>
    <t>width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</si>
  <si>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</si>
  <si>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area</t>
  </si>
  <si>
    <t xml:space="preserve">Floor </t>
  </si>
  <si>
    <t xml:space="preserve">Facade wall </t>
  </si>
  <si>
    <t>Ref.Numb</t>
  </si>
  <si>
    <t>N.</t>
  </si>
  <si>
    <t>net area</t>
  </si>
  <si>
    <t>R spectra</t>
  </si>
  <si>
    <t>Total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</si>
  <si>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</si>
  <si>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Weighted spectrum</t>
  </si>
  <si>
    <t>Weighted Total</t>
  </si>
  <si>
    <t>s</t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</si>
  <si>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=m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</si>
  <si>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b/>
        <i/>
        <vertAlign val="subscript"/>
        <sz val="11"/>
        <color theme="1"/>
        <rFont val="Calibri"/>
        <family val="2"/>
      </rPr>
      <t>Dd</t>
    </r>
  </si>
  <si>
    <r>
      <t>R</t>
    </r>
    <r>
      <rPr>
        <b/>
        <i/>
        <vertAlign val="subscript"/>
        <sz val="11"/>
        <color theme="1"/>
        <rFont val="Calibri"/>
        <family val="2"/>
      </rPr>
      <t>Ff</t>
    </r>
  </si>
  <si>
    <r>
      <t>R</t>
    </r>
    <r>
      <rPr>
        <b/>
        <i/>
        <vertAlign val="subscript"/>
        <sz val="11"/>
        <color theme="1"/>
        <rFont val="Calibri"/>
        <family val="2"/>
      </rPr>
      <t>Df</t>
    </r>
  </si>
  <si>
    <r>
      <t>R</t>
    </r>
    <r>
      <rPr>
        <b/>
        <i/>
        <vertAlign val="subscript"/>
        <sz val="11"/>
        <color theme="1"/>
        <rFont val="Calibri"/>
        <family val="2"/>
      </rPr>
      <t>Fd</t>
    </r>
  </si>
  <si>
    <t>ELEMENTS PARAMETERS</t>
  </si>
  <si>
    <t xml:space="preserve">Ceiling </t>
  </si>
  <si>
    <t>F = f = 2</t>
  </si>
  <si>
    <t>Facade 2</t>
  </si>
  <si>
    <t>F = f = 3</t>
  </si>
  <si>
    <t>F = f = 1</t>
  </si>
  <si>
    <t xml:space="preserve">Internal wall </t>
  </si>
  <si>
    <t>F=f=4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</si>
  <si>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Ff,w</t>
    </r>
  </si>
  <si>
    <r>
      <rPr>
        <sz val="11"/>
        <color theme="1"/>
        <rFont val="Symbol"/>
        <family val="1"/>
        <charset val="2"/>
      </rPr>
      <t>D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</si>
  <si>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Dd,w</t>
    </r>
  </si>
  <si>
    <t>IMPROVEMENT BY ADDITIONAL LINING</t>
  </si>
  <si>
    <r>
      <rPr>
        <i/>
        <sz val="11"/>
        <color theme="1"/>
        <rFont val="Calibri"/>
        <family val="2"/>
      </rPr>
      <t>F.Lenght:  I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 (m)</t>
    </r>
  </si>
  <si>
    <r>
      <t>10 log</t>
    </r>
    <r>
      <rPr>
        <b/>
        <vertAlign val="subscript"/>
        <sz val="11"/>
        <color theme="1"/>
        <rFont val="Calibri"/>
        <family val="2"/>
      </rPr>
      <t xml:space="preserve">10 </t>
    </r>
    <r>
      <rPr>
        <b/>
        <sz val="11"/>
        <color theme="1"/>
        <rFont val="Calibri"/>
        <family val="2"/>
      </rPr>
      <t>(</t>
    </r>
    <r>
      <rPr>
        <b/>
        <i/>
        <sz val="11"/>
        <color theme="1"/>
        <rFont val="Calibri"/>
        <family val="2"/>
      </rPr>
      <t>S</t>
    </r>
    <r>
      <rPr>
        <b/>
        <vertAlign val="subscript"/>
        <sz val="11"/>
        <color theme="1"/>
        <rFont val="Calibri"/>
        <family val="2"/>
      </rPr>
      <t>s</t>
    </r>
    <r>
      <rPr>
        <b/>
        <sz val="11"/>
        <color theme="1"/>
        <rFont val="Calibri"/>
        <family val="2"/>
      </rPr>
      <t xml:space="preserve"> / </t>
    </r>
    <r>
      <rPr>
        <b/>
        <i/>
        <sz val="11"/>
        <color theme="1"/>
        <rFont val="Calibri"/>
        <family val="2"/>
      </rPr>
      <t>I</t>
    </r>
    <r>
      <rPr>
        <b/>
        <vertAlign val="subscript"/>
        <sz val="11"/>
        <color theme="1"/>
        <rFont val="Calibri"/>
        <family val="2"/>
      </rPr>
      <t xml:space="preserve">f </t>
    </r>
    <r>
      <rPr>
        <b/>
        <sz val="11"/>
        <color theme="1"/>
        <rFont val="Calibri"/>
        <family val="2"/>
      </rPr>
      <t>)</t>
    </r>
  </si>
  <si>
    <t>WEIGHTED SOUND REDUCTION INDICES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</si>
  <si>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Fd,w</t>
    </r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</si>
  <si>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R</t>
    </r>
    <r>
      <rPr>
        <b/>
        <i/>
        <vertAlign val="subscript"/>
        <sz val="11"/>
        <color theme="1"/>
        <rFont val="Calibri"/>
        <family val="2"/>
      </rPr>
      <t>Df,w</t>
    </r>
  </si>
  <si>
    <r>
      <t>R</t>
    </r>
    <r>
      <rPr>
        <vertAlign val="subscript"/>
        <sz val="11"/>
        <color theme="1"/>
        <rFont val="Calibri"/>
        <family val="2"/>
      </rPr>
      <t>1d</t>
    </r>
    <r>
      <rPr>
        <sz val="11"/>
        <color theme="1"/>
        <rFont val="Calibri"/>
        <family val="2"/>
      </rPr>
      <t>,</t>
    </r>
    <r>
      <rPr>
        <i/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3d</t>
    </r>
    <r>
      <rPr>
        <sz val="11"/>
        <color theme="1"/>
        <rFont val="Calibri"/>
        <family val="2"/>
      </rPr>
      <t>,</t>
    </r>
    <r>
      <rPr>
        <vertAlign val="subscript"/>
        <sz val="11"/>
        <color theme="1"/>
        <rFont val="Calibri"/>
        <family val="2"/>
      </rPr>
      <t xml:space="preserve">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</si>
  <si>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</si>
  <si>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D1,w,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D3,w.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D4,w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</si>
  <si>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1d,w,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2d,w.</t>
    </r>
    <r>
      <rPr>
        <sz val="11"/>
        <color theme="1"/>
        <rFont val="Symbol"/>
        <family val="1"/>
        <charset val="2"/>
      </rPr>
      <t xml:space="preserve"> 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 xml:space="preserve">3d,w.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4d,w</t>
    </r>
  </si>
  <si>
    <r>
      <t>R</t>
    </r>
    <r>
      <rPr>
        <vertAlign val="subscript"/>
        <sz val="11"/>
        <color theme="1"/>
        <rFont val="Calibri"/>
        <family val="2"/>
      </rPr>
      <t>11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22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33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44</t>
    </r>
  </si>
  <si>
    <r>
      <t>R</t>
    </r>
    <r>
      <rPr>
        <vertAlign val="subscript"/>
        <sz val="11"/>
        <color theme="1"/>
        <rFont val="Calibri"/>
        <family val="2"/>
      </rPr>
      <t>D1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D2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D3</t>
    </r>
    <r>
      <rPr>
        <sz val="11"/>
        <color theme="1"/>
        <rFont val="Calibri"/>
        <family val="2"/>
      </rPr>
      <t xml:space="preserve">, </t>
    </r>
    <r>
      <rPr>
        <i/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D4</t>
    </r>
  </si>
  <si>
    <t>TOTAL</t>
  </si>
  <si>
    <r>
      <t>10</t>
    </r>
    <r>
      <rPr>
        <vertAlign val="superscript"/>
        <sz val="11"/>
        <color theme="1"/>
        <rFont val="Calibri"/>
        <family val="2"/>
        <scheme val="minor"/>
      </rPr>
      <t>(-Rij/10)</t>
    </r>
  </si>
  <si>
    <t>Sum</t>
  </si>
  <si>
    <t>1) Weighted Apparent Sound Reduction Index between rooms A and B</t>
  </si>
  <si>
    <t>2) Weighted  Standardized level difference of the facade</t>
  </si>
  <si>
    <t>Wall b.     A and B</t>
  </si>
  <si>
    <r>
      <rPr>
        <b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</rPr>
      <t>L</t>
    </r>
    <r>
      <rPr>
        <b/>
        <vertAlign val="subscript"/>
        <sz val="11"/>
        <color theme="1"/>
        <rFont val="Calibri"/>
        <family val="2"/>
      </rPr>
      <t>fs,w</t>
    </r>
  </si>
  <si>
    <t>V</t>
  </si>
  <si>
    <t>S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</si>
  <si>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</si>
  <si>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</si>
  <si>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r>
      <t xml:space="preserve">for gallery,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&lt; 0.3</t>
    </r>
  </si>
  <si>
    <t>line of sight &lt; 1.5 m</t>
  </si>
  <si>
    <r>
      <t>D</t>
    </r>
    <r>
      <rPr>
        <b/>
        <vertAlign val="subscript"/>
        <sz val="11"/>
        <color rgb="FFFF0000"/>
        <rFont val="Calibri"/>
        <family val="2"/>
        <scheme val="minor"/>
      </rPr>
      <t>2m,nT,w</t>
    </r>
  </si>
  <si>
    <r>
      <t>R'</t>
    </r>
    <r>
      <rPr>
        <b/>
        <vertAlign val="subscript"/>
        <sz val="11"/>
        <color rgb="FFFF0000"/>
        <rFont val="Calibri"/>
        <family val="2"/>
      </rPr>
      <t xml:space="preserve">w   </t>
    </r>
    <r>
      <rPr>
        <b/>
        <sz val="11"/>
        <color rgb="FFFF0000"/>
        <rFont val="Calibri"/>
        <family val="2"/>
      </rPr>
      <t>(A↔B)</t>
    </r>
  </si>
  <si>
    <t>SURFACE AREA NORMALIZATION</t>
  </si>
  <si>
    <t>(only direct)</t>
  </si>
  <si>
    <t>K</t>
  </si>
  <si>
    <t>(flanking transm. corr.)</t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</si>
  <si>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</si>
  <si>
    <t>FINAL RESULTS - Simplified Methods</t>
  </si>
  <si>
    <t>Building Category</t>
  </si>
  <si>
    <t>Residence</t>
  </si>
  <si>
    <t>D.P.C.M 5-12-1997</t>
  </si>
  <si>
    <r>
      <t>R'</t>
    </r>
    <r>
      <rPr>
        <vertAlign val="subscript"/>
        <sz val="11"/>
        <color theme="1"/>
        <rFont val="Calibri"/>
        <family val="2"/>
        <scheme val="minor"/>
      </rPr>
      <t xml:space="preserve">w </t>
    </r>
  </si>
  <si>
    <r>
      <t>D</t>
    </r>
    <r>
      <rPr>
        <vertAlign val="subscript"/>
        <sz val="11"/>
        <color theme="1"/>
        <rFont val="Calibri"/>
        <family val="2"/>
        <scheme val="minor"/>
      </rPr>
      <t>2m,n,T,w</t>
    </r>
  </si>
  <si>
    <t>(values taken from the door sheet)</t>
  </si>
  <si>
    <t>ONLY DIRECT AIRBORNE SOUND</t>
  </si>
  <si>
    <r>
      <t>If there are small vents, the surface element area is the normalized area A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= 10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</si>
  <si>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R'</t>
    </r>
    <r>
      <rPr>
        <b/>
        <vertAlign val="subscript"/>
        <sz val="11"/>
        <color theme="1"/>
        <rFont val="Calibri"/>
        <family val="2"/>
      </rPr>
      <t xml:space="preserve">w  </t>
    </r>
    <r>
      <rPr>
        <b/>
        <sz val="11"/>
        <color theme="1"/>
        <rFont val="Calibri"/>
        <family val="2"/>
      </rPr>
      <t xml:space="preserve">= </t>
    </r>
    <r>
      <rPr>
        <b/>
        <i/>
        <sz val="11"/>
        <color theme="1"/>
        <rFont val="Calibri"/>
        <family val="2"/>
      </rPr>
      <t>R</t>
    </r>
    <r>
      <rPr>
        <b/>
        <vertAlign val="subscript"/>
        <sz val="11"/>
        <color theme="1"/>
        <rFont val="Calibri"/>
        <family val="2"/>
      </rPr>
      <t>w,Direct</t>
    </r>
    <r>
      <rPr>
        <b/>
        <sz val="11"/>
        <color theme="1"/>
        <rFont val="Calibri"/>
        <family val="2"/>
      </rPr>
      <t xml:space="preserve">  - K</t>
    </r>
  </si>
  <si>
    <r>
      <t>R</t>
    </r>
    <r>
      <rPr>
        <b/>
        <vertAlign val="subscript"/>
        <sz val="11"/>
        <color theme="1"/>
        <rFont val="Calibri"/>
        <family val="2"/>
      </rPr>
      <t xml:space="preserve">w,D  </t>
    </r>
  </si>
  <si>
    <t>thickness</t>
  </si>
  <si>
    <t>"+9"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</si>
</sst>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E+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i/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vertAlign val="subscript"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vertAlign val="subscript"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vertAlign val="subscript"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1" xfId="0" applyBorder="1"/>
    <xf numFmtId="0" fontId="5" fillId="0" borderId="0" xfId="0" applyFont="1" applyFill="1" applyBorder="1" applyAlignment="1">
      <alignment horizontal="left" vertical="center" wrapText="1" readingOrder="1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2" fontId="0" fillId="0" borderId="1" xfId="0" applyNumberFormat="1" applyBorder="1"/>
    <xf numFmtId="164" fontId="0" fillId="0" borderId="1" xfId="0" applyNumberFormat="1" applyBorder="1"/>
    <xf numFmtId="164" fontId="0" fillId="0" borderId="1" xfId="0" applyNumberFormat="1" applyFill="1" applyBorder="1"/>
    <xf numFmtId="0" fontId="10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164" fontId="11" fillId="0" borderId="4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164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0" xfId="0" applyBorder="1"/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164" fontId="0" fillId="0" borderId="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0" xfId="0" applyFont="1" applyFill="1" applyBorder="1"/>
    <xf numFmtId="0" fontId="1" fillId="0" borderId="0" xfId="0" applyFont="1" applyFill="1" applyBorder="1"/>
    <xf numFmtId="164" fontId="11" fillId="0" borderId="0" xfId="0" applyNumberFormat="1" applyFont="1" applyBorder="1"/>
    <xf numFmtId="0" fontId="0" fillId="4" borderId="1" xfId="0" applyFill="1" applyBorder="1"/>
    <xf numFmtId="0" fontId="1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0" fillId="0" borderId="1" xfId="0" applyBorder="1" applyAlignment="1">
      <alignment horizontal="center" wrapText="1"/>
    </xf>
    <xf numFmtId="0" fontId="7" fillId="0" borderId="0" xfId="0" applyFont="1" applyFill="1" applyBorder="1" applyAlignment="1">
      <alignment horizontal="center" vertical="center" wrapText="1" readingOrder="1"/>
    </xf>
    <xf numFmtId="0" fontId="5" fillId="0" borderId="0" xfId="0" applyFont="1" applyFill="1" applyBorder="1" applyAlignment="1">
      <alignment horizontal="center" vertical="center" wrapText="1" readingOrder="1"/>
    </xf>
    <xf numFmtId="0" fontId="0" fillId="0" borderId="0" xfId="0" applyFill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0" xfId="0" applyFont="1"/>
    <xf numFmtId="0" fontId="0" fillId="0" borderId="12" xfId="0" quotePrefix="1" applyBorder="1" applyAlignment="1">
      <alignment vertical="center"/>
    </xf>
    <xf numFmtId="0" fontId="0" fillId="0" borderId="12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1" fillId="0" borderId="18" xfId="0" applyNumberFormat="1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11" fillId="0" borderId="16" xfId="0" applyNumberFormat="1" applyFon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7" fillId="0" borderId="0" xfId="0" applyFont="1" applyFill="1" applyBorder="1" applyAlignment="1">
      <alignment horizontal="left" vertical="center" wrapText="1" readingOrder="1"/>
    </xf>
    <xf numFmtId="1" fontId="0" fillId="0" borderId="1" xfId="0" applyNumberFormat="1" applyBorder="1"/>
    <xf numFmtId="0" fontId="5" fillId="0" borderId="1" xfId="0" applyFont="1" applyFill="1" applyBorder="1" applyAlignment="1">
      <alignment horizontal="center" vertical="center" wrapText="1" readingOrder="1"/>
    </xf>
    <xf numFmtId="0" fontId="5" fillId="0" borderId="2" xfId="0" applyFont="1" applyFill="1" applyBorder="1" applyAlignment="1">
      <alignment horizontal="center" vertical="center" wrapText="1" readingOrder="1"/>
    </xf>
    <xf numFmtId="0" fontId="6" fillId="0" borderId="2" xfId="0" applyFont="1" applyFill="1" applyBorder="1" applyAlignment="1">
      <alignment horizontal="center" vertical="center" wrapText="1" readingOrder="1"/>
    </xf>
    <xf numFmtId="0" fontId="0" fillId="0" borderId="27" xfId="0" applyBorder="1"/>
    <xf numFmtId="0" fontId="17" fillId="0" borderId="0" xfId="0" applyFont="1" applyFill="1" applyBorder="1" applyAlignment="1">
      <alignment horizontal="center" vertical="center" wrapText="1" readingOrder="1"/>
    </xf>
    <xf numFmtId="0" fontId="17" fillId="0" borderId="26" xfId="0" applyFont="1" applyFill="1" applyBorder="1" applyAlignment="1">
      <alignment horizontal="center" vertical="center" wrapText="1" readingOrder="1"/>
    </xf>
    <xf numFmtId="0" fontId="0" fillId="4" borderId="5" xfId="0" applyFill="1" applyBorder="1"/>
    <xf numFmtId="0" fontId="0" fillId="4" borderId="2" xfId="0" applyFill="1" applyBorder="1"/>
    <xf numFmtId="3" fontId="0" fillId="0" borderId="0" xfId="0" applyNumberFormat="1"/>
    <xf numFmtId="1" fontId="0" fillId="0" borderId="0" xfId="0" applyNumberFormat="1"/>
    <xf numFmtId="0" fontId="0" fillId="4" borderId="0" xfId="0" applyFill="1"/>
    <xf numFmtId="0" fontId="6" fillId="0" borderId="1" xfId="0" applyFont="1" applyFill="1" applyBorder="1" applyAlignment="1">
      <alignment horizontal="center" vertical="center" wrapText="1" readingOrder="1"/>
    </xf>
    <xf numFmtId="1" fontId="0" fillId="0" borderId="1" xfId="0" applyNumberFormat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 readingOrder="1"/>
    </xf>
    <xf numFmtId="0" fontId="7" fillId="0" borderId="1" xfId="0" applyFont="1" applyFill="1" applyBorder="1" applyAlignment="1">
      <alignment horizontal="center" vertical="center" wrapText="1" readingOrder="1"/>
    </xf>
    <xf numFmtId="0" fontId="0" fillId="4" borderId="24" xfId="0" applyFill="1" applyBorder="1"/>
    <xf numFmtId="0" fontId="0" fillId="4" borderId="17" xfId="0" applyFill="1" applyBorder="1"/>
    <xf numFmtId="0" fontId="0" fillId="4" borderId="25" xfId="0" applyFill="1" applyBorder="1"/>
    <xf numFmtId="0" fontId="7" fillId="0" borderId="0" xfId="0" applyFont="1" applyFill="1" applyBorder="1" applyAlignment="1">
      <alignment horizontal="left" vertical="center" readingOrder="1"/>
    </xf>
    <xf numFmtId="0" fontId="1" fillId="0" borderId="0" xfId="0" applyFont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0" fillId="0" borderId="28" xfId="0" applyBorder="1"/>
    <xf numFmtId="0" fontId="17" fillId="0" borderId="19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 wrapText="1" readingOrder="1"/>
    </xf>
    <xf numFmtId="164" fontId="0" fillId="0" borderId="10" xfId="0" applyNumberFormat="1" applyBorder="1" applyAlignment="1">
      <alignment horizontal="center" vertical="center"/>
    </xf>
    <xf numFmtId="0" fontId="0" fillId="0" borderId="10" xfId="0" applyFill="1" applyBorder="1"/>
    <xf numFmtId="0" fontId="20" fillId="0" borderId="1" xfId="0" applyFont="1" applyBorder="1"/>
    <xf numFmtId="0" fontId="3" fillId="0" borderId="1" xfId="0" applyFont="1" applyFill="1" applyBorder="1"/>
    <xf numFmtId="11" fontId="20" fillId="0" borderId="1" xfId="0" applyNumberFormat="1" applyFont="1" applyBorder="1"/>
    <xf numFmtId="0" fontId="1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16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25" xfId="0" applyFont="1" applyFill="1" applyBorder="1" applyAlignment="1">
      <alignment horizontal="center" vertical="center" wrapText="1" readingOrder="1"/>
    </xf>
    <xf numFmtId="0" fontId="7" fillId="0" borderId="8" xfId="0" applyFont="1" applyFill="1" applyBorder="1" applyAlignment="1">
      <alignment horizontal="center" vertical="center" wrapText="1" readingOrder="1"/>
    </xf>
    <xf numFmtId="0" fontId="25" fillId="0" borderId="25" xfId="0" applyFont="1" applyBorder="1" applyAlignment="1">
      <alignment horizontal="center"/>
    </xf>
    <xf numFmtId="0" fontId="0" fillId="5" borderId="0" xfId="0" applyFill="1"/>
    <xf numFmtId="0" fontId="17" fillId="0" borderId="13" xfId="0" applyFont="1" applyFill="1" applyBorder="1" applyAlignment="1">
      <alignment horizontal="left" vertical="center" readingOrder="1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w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19</xdr:row>
          <xdr:rowOff>28575</xdr:rowOff>
        </xdr:from>
        <xdr:to>
          <xdr:col>6</xdr:col>
          <xdr:colOff>352425</xdr:colOff>
          <xdr:row>22</xdr:row>
          <xdr:rowOff>66675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19</xdr:row>
          <xdr:rowOff>28575</xdr:rowOff>
        </xdr:from>
        <xdr:to>
          <xdr:col>13</xdr:col>
          <xdr:colOff>276225</xdr:colOff>
          <xdr:row>22</xdr:row>
          <xdr:rowOff>9525</xdr:rowOff>
        </xdr:to>
        <xdr:sp macro="" textlink="">
          <xdr:nvSpPr>
            <xdr:cNvPr id="2050" name="Object 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sp>
        <xdr:clientData/>
      </xdr:twoCellAnchor>
    </mc:Choice>
    <mc:Fallback/>
  </mc:AlternateContent>
  <xdr:twoCellAnchor editAs="oneCell">
    <xdr:from>
      <xdr:col>14</xdr:col>
      <xdr:colOff>422650</xdr:colOff>
      <xdr:row>20</xdr:row>
      <xdr:rowOff>49997</xdr:rowOff>
    </xdr:from>
    <xdr:to>
      <xdr:col>21</xdr:col>
      <xdr:colOff>542796</xdr:colOff>
      <xdr:row>42</xdr:row>
      <xdr:rowOff>191457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7253" y="3891312"/>
          <a:ext cx="4358118" cy="49921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104775</xdr:rowOff>
        </xdr:from>
        <xdr:to>
          <xdr:col>22</xdr:col>
          <xdr:colOff>561975</xdr:colOff>
          <xdr:row>2</xdr:row>
          <xdr:rowOff>180975</xdr:rowOff>
        </xdr:to>
        <xdr:sp macro="" textlink="">
          <xdr:nvSpPr>
            <xdr:cNvPr id="8193" name="Object 9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160895</xdr:colOff>
      <xdr:row>2</xdr:row>
      <xdr:rowOff>156939</xdr:rowOff>
    </xdr:from>
    <xdr:to>
      <xdr:col>23</xdr:col>
      <xdr:colOff>53954</xdr:colOff>
      <xdr:row>3</xdr:row>
      <xdr:rowOff>171894</xdr:rowOff>
    </xdr:to>
    <xdr:pic>
      <xdr:nvPicPr>
        <xdr:cNvPr id="3" name="Objec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6853" y="513014"/>
          <a:ext cx="294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4</xdr:row>
          <xdr:rowOff>19050</xdr:rowOff>
        </xdr:from>
        <xdr:to>
          <xdr:col>23</xdr:col>
          <xdr:colOff>228600</xdr:colOff>
          <xdr:row>5</xdr:row>
          <xdr:rowOff>28575</xdr:rowOff>
        </xdr:to>
        <xdr:sp macro="" textlink="">
          <xdr:nvSpPr>
            <xdr:cNvPr id="8195" name="Object 5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5</xdr:row>
          <xdr:rowOff>104775</xdr:rowOff>
        </xdr:from>
        <xdr:to>
          <xdr:col>21</xdr:col>
          <xdr:colOff>28575</xdr:colOff>
          <xdr:row>6</xdr:row>
          <xdr:rowOff>152400</xdr:rowOff>
        </xdr:to>
        <xdr:sp macro="" textlink="">
          <xdr:nvSpPr>
            <xdr:cNvPr id="8196" name="Object 6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390525</xdr:colOff>
          <xdr:row>0</xdr:row>
          <xdr:rowOff>180975</xdr:rowOff>
        </xdr:from>
        <xdr:to>
          <xdr:col>25</xdr:col>
          <xdr:colOff>447675</xdr:colOff>
          <xdr:row>3</xdr:row>
          <xdr:rowOff>66675</xdr:rowOff>
        </xdr:to>
        <xdr:sp macro="" textlink="">
          <xdr:nvSpPr>
            <xdr:cNvPr id="8197" name="Object 10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447675</xdr:colOff>
          <xdr:row>3</xdr:row>
          <xdr:rowOff>161925</xdr:rowOff>
        </xdr:from>
        <xdr:to>
          <xdr:col>25</xdr:col>
          <xdr:colOff>190500</xdr:colOff>
          <xdr:row>5</xdr:row>
          <xdr:rowOff>142875</xdr:rowOff>
        </xdr:to>
        <xdr:sp macro="" textlink="">
          <xdr:nvSpPr>
            <xdr:cNvPr id="8198" name="Object 1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9525</xdr:rowOff>
        </xdr:from>
        <xdr:to>
          <xdr:col>17</xdr:col>
          <xdr:colOff>561975</xdr:colOff>
          <xdr:row>5</xdr:row>
          <xdr:rowOff>28575</xdr:rowOff>
        </xdr:to>
        <xdr:sp macro="" textlink="">
          <xdr:nvSpPr>
            <xdr:cNvPr id="8199" name="Object 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5</xdr:row>
          <xdr:rowOff>142875</xdr:rowOff>
        </xdr:from>
        <xdr:to>
          <xdr:col>17</xdr:col>
          <xdr:colOff>295275</xdr:colOff>
          <xdr:row>7</xdr:row>
          <xdr:rowOff>0</xdr:rowOff>
        </xdr:to>
        <xdr:sp macro="" textlink="">
          <xdr:nvSpPr>
            <xdr:cNvPr id="8200" name="Object 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E3E7E6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8</xdr:row>
          <xdr:rowOff>180975</xdr:rowOff>
        </xdr:from>
        <xdr:to>
          <xdr:col>23</xdr:col>
          <xdr:colOff>314325</xdr:colOff>
          <xdr:row>12</xdr:row>
          <xdr:rowOff>28575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114300</xdr:rowOff>
        </xdr:from>
        <xdr:to>
          <xdr:col>22</xdr:col>
          <xdr:colOff>600075</xdr:colOff>
          <xdr:row>13</xdr:row>
          <xdr:rowOff>142875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17</xdr:row>
          <xdr:rowOff>114300</xdr:rowOff>
        </xdr:from>
        <xdr:to>
          <xdr:col>17</xdr:col>
          <xdr:colOff>600075</xdr:colOff>
          <xdr:row>20</xdr:row>
          <xdr:rowOff>180975</xdr:rowOff>
        </xdr:to>
        <xdr:sp macro="" textlink="">
          <xdr:nvSpPr>
            <xdr:cNvPr id="10242" name="Object 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425450</xdr:colOff>
      <xdr:row>0</xdr:row>
      <xdr:rowOff>0</xdr:rowOff>
    </xdr:from>
    <xdr:to>
      <xdr:col>9</xdr:col>
      <xdr:colOff>495300</xdr:colOff>
      <xdr:row>6</xdr:row>
      <xdr:rowOff>154940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1800" y="0"/>
          <a:ext cx="1898650" cy="134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450850</xdr:colOff>
      <xdr:row>13</xdr:row>
      <xdr:rowOff>44450</xdr:rowOff>
    </xdr:from>
    <xdr:to>
      <xdr:col>9</xdr:col>
      <xdr:colOff>368300</xdr:colOff>
      <xdr:row>18</xdr:row>
      <xdr:rowOff>124460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2692400"/>
          <a:ext cx="1746250" cy="1127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279400</xdr:colOff>
      <xdr:row>18</xdr:row>
      <xdr:rowOff>133350</xdr:rowOff>
    </xdr:from>
    <xdr:to>
      <xdr:col>9</xdr:col>
      <xdr:colOff>349250</xdr:colOff>
      <xdr:row>25</xdr:row>
      <xdr:rowOff>99060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0" y="3829050"/>
          <a:ext cx="1898650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6</xdr:row>
      <xdr:rowOff>88900</xdr:rowOff>
    </xdr:from>
    <xdr:to>
      <xdr:col>9</xdr:col>
      <xdr:colOff>374650</xdr:colOff>
      <xdr:row>13</xdr:row>
      <xdr:rowOff>59690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1150" y="1320800"/>
          <a:ext cx="189865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7.bin"/><Relationship Id="rId1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6.emf"/><Relationship Id="rId14" Type="http://schemas.openxmlformats.org/officeDocument/2006/relationships/oleObject" Target="../embeddings/oleObject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"/>
  <sheetViews>
    <sheetView tabSelected="1" topLeftCell="A17" zoomScaleNormal="120" workbookViewId="0">
      <selection activeCell="K27" sqref="K27"/>
    </sheetView>
  </sheetViews>
  <sheetFormatPr defaultColWidth="8.85546875" defaultRowHeight="15" x14ac:dyDescent="0.25"/>
  <cols>
    <col min="2" max="2" width="24" customWidth="1"/>
    <col min="3" max="3" width="9.140625" customWidth="1"/>
    <col min="5" max="6" width="8.85546875" customWidth="1"/>
    <col min="7" max="8" width="9.42578125" customWidth="1"/>
    <col min="9" max="12" width="8.85546875" customWidth="1"/>
  </cols>
  <sheetData>
    <row r="1" spans="1:25" ht="18.75" x14ac:dyDescent="0.3">
      <c r="A1" s="14" t="s">
        <v>33</v>
      </c>
    </row>
    <row r="2" spans="1:25" ht="18.75" x14ac:dyDescent="0.3">
      <c r="C2" t="s">
        <v>91</v>
      </c>
      <c r="D2" s="7" t="s">
        <v>25</v>
      </c>
      <c r="E2" s="7" t="s">
        <v>28</v>
      </c>
      <c r="F2" t="s">
        <v>26</v>
      </c>
      <c r="G2" t="s">
        <v>27</v>
      </c>
      <c r="H2" t="s">
        <v>30</v>
      </c>
      <c r="K2" s="14" t="s">
        <v>149</v>
      </c>
      <c r="N2" t="s">
        <v>150</v>
      </c>
    </row>
    <row r="3" spans="1:25" ht="14.45" customHeight="1" x14ac:dyDescent="0.25">
      <c r="B3" s="2" t="s">
        <v>23</v>
      </c>
      <c r="C3" s="76" t="s">
        <v>92</v>
      </c>
      <c r="D3" s="7" t="s">
        <v>16</v>
      </c>
      <c r="E3" s="7" t="s">
        <v>16</v>
      </c>
      <c r="F3" s="7" t="s">
        <v>16</v>
      </c>
      <c r="G3" s="7" t="s">
        <v>15</v>
      </c>
    </row>
    <row r="4" spans="1:25" ht="14.45" customHeight="1" x14ac:dyDescent="0.35">
      <c r="A4">
        <v>1</v>
      </c>
      <c r="B4" t="s">
        <v>32</v>
      </c>
      <c r="D4" s="82">
        <v>7.2</v>
      </c>
      <c r="E4" s="82">
        <v>3.1</v>
      </c>
      <c r="F4" s="57">
        <v>0.26</v>
      </c>
      <c r="G4" s="27">
        <v>160</v>
      </c>
      <c r="K4" t="s">
        <v>151</v>
      </c>
      <c r="M4" t="s">
        <v>152</v>
      </c>
      <c r="N4" s="15">
        <v>50</v>
      </c>
      <c r="O4" t="s">
        <v>2</v>
      </c>
    </row>
    <row r="5" spans="1:25" ht="14.45" customHeight="1" x14ac:dyDescent="0.35">
      <c r="B5" s="2" t="s">
        <v>24</v>
      </c>
      <c r="C5" s="2"/>
      <c r="D5" s="9"/>
      <c r="E5" s="9"/>
      <c r="F5" s="10"/>
      <c r="G5" s="8"/>
      <c r="M5" t="s">
        <v>153</v>
      </c>
      <c r="N5" s="15">
        <v>40</v>
      </c>
      <c r="O5" t="s">
        <v>2</v>
      </c>
    </row>
    <row r="6" spans="1:25" ht="14.45" customHeight="1" x14ac:dyDescent="0.25">
      <c r="A6">
        <v>2</v>
      </c>
      <c r="B6" s="3" t="s">
        <v>89</v>
      </c>
      <c r="C6" s="80">
        <v>1</v>
      </c>
      <c r="D6" s="82">
        <v>12</v>
      </c>
      <c r="E6" s="82">
        <v>7.2</v>
      </c>
      <c r="F6" s="57">
        <v>0.26</v>
      </c>
      <c r="G6" s="27">
        <v>598</v>
      </c>
      <c r="H6" t="s">
        <v>31</v>
      </c>
      <c r="L6" s="6"/>
      <c r="U6" s="123"/>
      <c r="V6" s="123"/>
      <c r="X6" s="124"/>
      <c r="Y6" s="124"/>
    </row>
    <row r="7" spans="1:25" ht="14.45" customHeight="1" x14ac:dyDescent="0.25">
      <c r="A7">
        <v>3</v>
      </c>
      <c r="B7" s="3" t="s">
        <v>14</v>
      </c>
      <c r="C7" s="80">
        <v>4</v>
      </c>
      <c r="D7" s="82">
        <v>12</v>
      </c>
      <c r="E7" s="82">
        <v>7.2</v>
      </c>
      <c r="F7" s="57">
        <v>0.26</v>
      </c>
      <c r="G7" s="27">
        <v>598</v>
      </c>
      <c r="H7" t="s">
        <v>31</v>
      </c>
    </row>
    <row r="8" spans="1:25" ht="14.45" customHeight="1" x14ac:dyDescent="0.25">
      <c r="A8">
        <v>4</v>
      </c>
      <c r="B8" t="s">
        <v>90</v>
      </c>
      <c r="C8" s="15">
        <v>2</v>
      </c>
      <c r="D8" s="82">
        <v>12</v>
      </c>
      <c r="E8" s="82">
        <v>3.1</v>
      </c>
      <c r="F8" s="57">
        <v>0.25</v>
      </c>
      <c r="G8" s="27">
        <v>285</v>
      </c>
    </row>
    <row r="9" spans="1:25" ht="14.45" customHeight="1" x14ac:dyDescent="0.25">
      <c r="A9">
        <v>5</v>
      </c>
      <c r="B9" t="s">
        <v>90</v>
      </c>
      <c r="C9" s="15">
        <v>3</v>
      </c>
      <c r="D9" s="82">
        <v>7.2</v>
      </c>
      <c r="E9" s="82">
        <v>3.1</v>
      </c>
      <c r="F9" s="57">
        <v>0.25</v>
      </c>
      <c r="G9" s="27">
        <v>285</v>
      </c>
    </row>
    <row r="10" spans="1:25" ht="14.45" customHeight="1" x14ac:dyDescent="0.25">
      <c r="A10">
        <v>6</v>
      </c>
      <c r="B10" s="3" t="s">
        <v>12</v>
      </c>
      <c r="C10" s="80">
        <v>5</v>
      </c>
      <c r="D10" s="82">
        <v>7.2</v>
      </c>
      <c r="E10" s="82">
        <v>3.1</v>
      </c>
      <c r="F10" s="57">
        <v>0.26</v>
      </c>
      <c r="G10" s="27">
        <v>160</v>
      </c>
    </row>
    <row r="11" spans="1:25" ht="14.45" customHeight="1" x14ac:dyDescent="0.25">
      <c r="A11">
        <v>7</v>
      </c>
      <c r="B11" s="3" t="s">
        <v>12</v>
      </c>
      <c r="C11" s="80">
        <v>6</v>
      </c>
      <c r="D11" s="82">
        <v>12</v>
      </c>
      <c r="E11" s="82">
        <v>3.1</v>
      </c>
      <c r="F11" s="57">
        <v>0.26</v>
      </c>
      <c r="G11" s="27">
        <v>160</v>
      </c>
    </row>
    <row r="12" spans="1:25" ht="14.45" customHeight="1" x14ac:dyDescent="0.25">
      <c r="B12" s="59" t="s">
        <v>56</v>
      </c>
      <c r="C12" s="59"/>
    </row>
    <row r="13" spans="1:25" x14ac:dyDescent="0.25">
      <c r="A13">
        <v>7</v>
      </c>
      <c r="B13" s="58" t="s">
        <v>55</v>
      </c>
      <c r="C13" s="81">
        <v>2</v>
      </c>
      <c r="D13" s="17">
        <v>1.8</v>
      </c>
      <c r="E13" s="17">
        <v>1.2</v>
      </c>
      <c r="F13" s="57">
        <v>1.15E-2</v>
      </c>
      <c r="G13" s="27">
        <v>25</v>
      </c>
    </row>
    <row r="14" spans="1:25" x14ac:dyDescent="0.25">
      <c r="A14">
        <v>8</v>
      </c>
      <c r="B14" s="58" t="s">
        <v>55</v>
      </c>
      <c r="C14" s="81">
        <v>3</v>
      </c>
      <c r="D14" s="17">
        <v>1.6</v>
      </c>
      <c r="E14" s="17">
        <v>1.2</v>
      </c>
      <c r="F14" s="57">
        <v>1.15E-2</v>
      </c>
      <c r="G14" s="27">
        <v>25</v>
      </c>
    </row>
    <row r="15" spans="1:25" x14ac:dyDescent="0.25">
      <c r="A15">
        <v>9</v>
      </c>
      <c r="B15" s="58" t="s">
        <v>54</v>
      </c>
      <c r="C15" s="81">
        <v>2</v>
      </c>
      <c r="D15" s="17">
        <v>0.9</v>
      </c>
      <c r="E15" s="17">
        <v>2.2000000000000002</v>
      </c>
      <c r="F15" s="110">
        <f>Door!C7</f>
        <v>5.4000000000000006E-2</v>
      </c>
      <c r="G15" s="110">
        <f>Door!E7</f>
        <v>33.5</v>
      </c>
    </row>
    <row r="16" spans="1:25" x14ac:dyDescent="0.25">
      <c r="F16" s="152" t="s">
        <v>154</v>
      </c>
      <c r="G16" s="152"/>
    </row>
    <row r="17" spans="1:13" ht="18.75" x14ac:dyDescent="0.3">
      <c r="A17" s="14" t="s">
        <v>148</v>
      </c>
    </row>
    <row r="18" spans="1:13" ht="14.45" customHeight="1" x14ac:dyDescent="0.25"/>
    <row r="19" spans="1:13" x14ac:dyDescent="0.25">
      <c r="A19" s="2" t="s">
        <v>131</v>
      </c>
      <c r="J19" s="2" t="s">
        <v>132</v>
      </c>
    </row>
    <row r="20" spans="1:13" x14ac:dyDescent="0.25">
      <c r="A20" s="2"/>
      <c r="J20" s="2"/>
    </row>
    <row r="21" spans="1:13" x14ac:dyDescent="0.25">
      <c r="A21" s="2"/>
      <c r="J21" s="2"/>
    </row>
    <row r="23" spans="1:13" ht="30" x14ac:dyDescent="0.25">
      <c r="C23" s="113" t="s">
        <v>133</v>
      </c>
      <c r="D23" s="5" t="s">
        <v>13</v>
      </c>
      <c r="E23" s="5" t="s">
        <v>106</v>
      </c>
      <c r="F23" s="5" t="s">
        <v>108</v>
      </c>
      <c r="G23" s="5" t="s">
        <v>111</v>
      </c>
      <c r="K23" s="153" t="s">
        <v>157</v>
      </c>
    </row>
    <row r="24" spans="1:13" ht="19.7" customHeight="1" x14ac:dyDescent="0.25">
      <c r="B24" s="113" t="s">
        <v>105</v>
      </c>
      <c r="C24" s="66" t="s">
        <v>99</v>
      </c>
      <c r="D24" s="67" t="s">
        <v>110</v>
      </c>
      <c r="E24" s="67" t="s">
        <v>107</v>
      </c>
      <c r="F24" s="67" t="s">
        <v>109</v>
      </c>
      <c r="G24" s="67" t="s">
        <v>112</v>
      </c>
      <c r="J24" s="149" t="s">
        <v>158</v>
      </c>
      <c r="K24" s="15"/>
      <c r="L24" t="s">
        <v>2</v>
      </c>
      <c r="M24" t="s">
        <v>144</v>
      </c>
    </row>
    <row r="25" spans="1:13" ht="17.25" x14ac:dyDescent="0.25">
      <c r="B25" s="126" t="s">
        <v>29</v>
      </c>
      <c r="C25" s="127">
        <v>160</v>
      </c>
      <c r="D25" s="127">
        <v>598</v>
      </c>
      <c r="E25" s="127">
        <v>598</v>
      </c>
      <c r="F25" s="127">
        <v>285</v>
      </c>
      <c r="G25" s="127">
        <v>160</v>
      </c>
      <c r="J25" s="151" t="s">
        <v>145</v>
      </c>
      <c r="K25" s="148"/>
      <c r="L25" t="s">
        <v>2</v>
      </c>
      <c r="M25" t="s">
        <v>146</v>
      </c>
    </row>
    <row r="26" spans="1:13" ht="18" x14ac:dyDescent="0.25">
      <c r="B26" s="116" t="s">
        <v>117</v>
      </c>
      <c r="C26" s="125"/>
      <c r="D26" s="127">
        <v>7.2</v>
      </c>
      <c r="E26" s="127">
        <v>7.2</v>
      </c>
      <c r="F26" s="127">
        <v>3.1</v>
      </c>
      <c r="G26" s="127">
        <v>3.1</v>
      </c>
      <c r="J26" s="139" t="s">
        <v>147</v>
      </c>
      <c r="K26" s="110"/>
      <c r="L26" t="s">
        <v>2</v>
      </c>
    </row>
    <row r="27" spans="1:13" ht="18" x14ac:dyDescent="0.25">
      <c r="B27" s="126" t="s">
        <v>18</v>
      </c>
      <c r="C27" s="138">
        <v>41</v>
      </c>
      <c r="D27" s="138">
        <v>61</v>
      </c>
      <c r="E27" s="138">
        <v>61</v>
      </c>
      <c r="F27" s="138">
        <v>45</v>
      </c>
      <c r="G27" s="138">
        <v>49</v>
      </c>
      <c r="J27" s="150" t="s">
        <v>134</v>
      </c>
      <c r="K27" s="86"/>
      <c r="L27" t="s">
        <v>2</v>
      </c>
      <c r="M27" t="s">
        <v>139</v>
      </c>
    </row>
    <row r="28" spans="1:13" ht="17.25" x14ac:dyDescent="0.25">
      <c r="B28" s="134" t="s">
        <v>17</v>
      </c>
      <c r="J28" s="138" t="s">
        <v>135</v>
      </c>
      <c r="K28" s="19"/>
      <c r="L28" t="s">
        <v>137</v>
      </c>
      <c r="M28" t="s">
        <v>140</v>
      </c>
    </row>
    <row r="29" spans="1:13" ht="18" x14ac:dyDescent="0.25">
      <c r="B29" s="115" t="s">
        <v>19</v>
      </c>
      <c r="C29" s="132"/>
      <c r="D29" s="83">
        <f>m_d/D25</f>
        <v>0.26755852842809363</v>
      </c>
      <c r="E29" s="83">
        <f>m_d/E25</f>
        <v>0.26755852842809363</v>
      </c>
      <c r="F29" s="83">
        <f>m_d/F25</f>
        <v>0.56140350877192979</v>
      </c>
      <c r="G29" s="83">
        <f>m_d/G25</f>
        <v>1</v>
      </c>
      <c r="J29" s="138" t="s">
        <v>136</v>
      </c>
      <c r="K29" s="19"/>
      <c r="L29" t="s">
        <v>87</v>
      </c>
    </row>
    <row r="30" spans="1:13" ht="18.75" thickBot="1" x14ac:dyDescent="0.3">
      <c r="B30" s="126" t="s">
        <v>20</v>
      </c>
      <c r="C30" s="121"/>
      <c r="D30" s="83">
        <v>0.8</v>
      </c>
      <c r="E30" s="83">
        <v>0.8</v>
      </c>
      <c r="F30" s="83">
        <v>2.5</v>
      </c>
      <c r="G30" s="83">
        <v>8.6999999999999993</v>
      </c>
      <c r="J30" s="15" t="s">
        <v>138</v>
      </c>
      <c r="K30" s="111">
        <v>0.5</v>
      </c>
      <c r="L30" t="s">
        <v>99</v>
      </c>
    </row>
    <row r="31" spans="1:13" ht="18.75" thickBot="1" x14ac:dyDescent="0.4">
      <c r="B31" s="126" t="s">
        <v>22</v>
      </c>
      <c r="C31" s="122"/>
      <c r="D31" s="83">
        <v>10.6</v>
      </c>
      <c r="E31" s="83">
        <v>10.6</v>
      </c>
      <c r="F31" s="83">
        <v>5.94</v>
      </c>
      <c r="G31" s="83">
        <v>8.6999999999999993</v>
      </c>
      <c r="J31" s="145" t="s">
        <v>141</v>
      </c>
      <c r="K31" s="23"/>
      <c r="L31" t="s">
        <v>2</v>
      </c>
    </row>
    <row r="32" spans="1:13" ht="18" x14ac:dyDescent="0.25">
      <c r="B32" s="126" t="s">
        <v>21</v>
      </c>
      <c r="C32" s="121"/>
      <c r="D32" s="83">
        <v>10.6</v>
      </c>
      <c r="E32" s="83">
        <v>10.6</v>
      </c>
      <c r="F32" s="83">
        <v>5.94</v>
      </c>
      <c r="G32" s="83">
        <v>8.6999999999999993</v>
      </c>
    </row>
    <row r="33" spans="1:12" ht="17.45" customHeight="1" x14ac:dyDescent="0.25">
      <c r="B33" s="133" t="s">
        <v>116</v>
      </c>
      <c r="J33" s="73" t="str">
        <f>IF(K31&gt;=N5,"Complies with legal limiting value.","Does not comply with legal limiting value!")</f>
        <v>Does not comply with legal limiting value!</v>
      </c>
    </row>
    <row r="34" spans="1:12" ht="15.6" customHeight="1" x14ac:dyDescent="0.25">
      <c r="A34" s="129" t="s">
        <v>115</v>
      </c>
      <c r="B34" s="115" t="s">
        <v>114</v>
      </c>
      <c r="C34" s="15">
        <v>0</v>
      </c>
      <c r="D34" s="61"/>
      <c r="E34" s="61"/>
      <c r="F34" s="61"/>
      <c r="G34" s="61"/>
    </row>
    <row r="35" spans="1:12" ht="15.6" customHeight="1" x14ac:dyDescent="0.25">
      <c r="A35" s="139" t="s">
        <v>113</v>
      </c>
      <c r="B35" s="115" t="s">
        <v>123</v>
      </c>
      <c r="C35" s="61"/>
      <c r="D35" s="19"/>
      <c r="E35" s="19"/>
      <c r="F35" s="19"/>
      <c r="G35" s="19"/>
    </row>
    <row r="36" spans="1:12" ht="15.6" customHeight="1" x14ac:dyDescent="0.25">
      <c r="A36" s="139" t="s">
        <v>121</v>
      </c>
      <c r="B36" s="115" t="s">
        <v>124</v>
      </c>
      <c r="C36" s="61"/>
      <c r="D36" s="19"/>
      <c r="E36" s="19"/>
      <c r="F36" s="19"/>
      <c r="G36" s="19"/>
    </row>
    <row r="37" spans="1:12" ht="15.6" customHeight="1" x14ac:dyDescent="0.25">
      <c r="A37" s="139" t="s">
        <v>120</v>
      </c>
      <c r="B37" s="115" t="s">
        <v>125</v>
      </c>
      <c r="C37" s="61"/>
      <c r="D37" s="19"/>
      <c r="E37" s="19"/>
      <c r="F37" s="19"/>
      <c r="G37" s="19"/>
    </row>
    <row r="38" spans="1:12" ht="15.6" customHeight="1" x14ac:dyDescent="0.25">
      <c r="A38" s="120"/>
      <c r="B38" s="133" t="s">
        <v>143</v>
      </c>
      <c r="C38" s="141"/>
      <c r="D38" s="140"/>
      <c r="E38" s="140"/>
      <c r="F38" s="140"/>
      <c r="G38" s="140"/>
    </row>
    <row r="39" spans="1:12" ht="15.6" customHeight="1" x14ac:dyDescent="0.25">
      <c r="A39" s="118"/>
      <c r="B39" s="129" t="s">
        <v>118</v>
      </c>
      <c r="C39" s="61"/>
      <c r="D39" s="83"/>
      <c r="E39" s="83"/>
      <c r="F39" s="83"/>
      <c r="G39" s="83"/>
    </row>
    <row r="40" spans="1:12" x14ac:dyDescent="0.25">
      <c r="B40" s="133" t="s">
        <v>119</v>
      </c>
    </row>
    <row r="41" spans="1:12" ht="18.75" customHeight="1" thickBot="1" x14ac:dyDescent="0.3">
      <c r="A41" s="136"/>
      <c r="B41" s="137" t="s">
        <v>101</v>
      </c>
      <c r="C41" s="100">
        <f>C27+C34</f>
        <v>41</v>
      </c>
      <c r="D41" s="130"/>
      <c r="E41" s="130"/>
      <c r="F41" s="130"/>
      <c r="G41" s="131"/>
      <c r="H41" s="142"/>
      <c r="I41" s="7" t="s">
        <v>129</v>
      </c>
      <c r="L41" t="s">
        <v>130</v>
      </c>
    </row>
    <row r="42" spans="1:12" ht="15.6" customHeight="1" x14ac:dyDescent="0.25">
      <c r="A42" s="128" t="s">
        <v>102</v>
      </c>
      <c r="B42" s="117" t="s">
        <v>126</v>
      </c>
      <c r="C42" s="135"/>
      <c r="D42" s="18"/>
      <c r="E42" s="18"/>
      <c r="F42" s="18"/>
      <c r="G42" s="18"/>
      <c r="H42" s="144"/>
      <c r="I42" s="144"/>
      <c r="J42" s="144"/>
      <c r="K42" s="144"/>
      <c r="L42" s="143"/>
    </row>
    <row r="43" spans="1:12" ht="18.600000000000001" customHeight="1" x14ac:dyDescent="0.25">
      <c r="A43" s="139" t="s">
        <v>103</v>
      </c>
      <c r="B43" s="117" t="s">
        <v>127</v>
      </c>
      <c r="C43" s="135"/>
      <c r="D43" s="19"/>
      <c r="E43" s="19"/>
      <c r="F43" s="19"/>
      <c r="G43" s="19"/>
      <c r="H43" s="144"/>
      <c r="I43" s="144"/>
      <c r="J43" s="144"/>
      <c r="K43" s="144"/>
      <c r="L43" s="143"/>
    </row>
    <row r="44" spans="1:12" ht="18" x14ac:dyDescent="0.25">
      <c r="A44" s="139" t="s">
        <v>104</v>
      </c>
      <c r="B44" s="126" t="s">
        <v>122</v>
      </c>
      <c r="C44" s="135"/>
      <c r="D44" s="18"/>
      <c r="E44" s="19"/>
      <c r="F44" s="19"/>
      <c r="G44" s="19"/>
      <c r="H44" s="144"/>
      <c r="I44" s="144"/>
      <c r="J44" s="144"/>
      <c r="K44" s="144"/>
      <c r="L44" s="143"/>
    </row>
    <row r="45" spans="1:12" ht="15.75" thickBot="1" x14ac:dyDescent="0.3">
      <c r="B45" s="119" t="s">
        <v>128</v>
      </c>
    </row>
    <row r="46" spans="1:12" ht="18.75" thickBot="1" x14ac:dyDescent="0.3">
      <c r="B46" s="146" t="s">
        <v>142</v>
      </c>
      <c r="C46" s="23">
        <v>43.3</v>
      </c>
      <c r="D46" s="73" t="str">
        <f>IF(C46&gt;=N4,"Complies with legal limiting value.","Does not comply with legal limiting value!")</f>
        <v>Does not comply with legal limiting value!</v>
      </c>
    </row>
  </sheetData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49" r:id="rId4">
          <objectPr defaultSize="0" autoPict="0" r:id="rId5">
            <anchor moveWithCells="1" sizeWithCells="1">
              <from>
                <xdr:col>0</xdr:col>
                <xdr:colOff>190500</xdr:colOff>
                <xdr:row>19</xdr:row>
                <xdr:rowOff>28575</xdr:rowOff>
              </from>
              <to>
                <xdr:col>6</xdr:col>
                <xdr:colOff>352425</xdr:colOff>
                <xdr:row>22</xdr:row>
                <xdr:rowOff>66675</xdr:rowOff>
              </to>
            </anchor>
          </objectPr>
        </oleObject>
      </mc:Choice>
      <mc:Fallback>
        <oleObject progId="Equation.3" shapeId="2049" r:id="rId4"/>
      </mc:Fallback>
    </mc:AlternateContent>
    <mc:AlternateContent xmlns:mc="http://schemas.openxmlformats.org/markup-compatibility/2006">
      <mc:Choice Requires="x14">
        <oleObject progId="Equation.3" shapeId="2050" r:id="rId6">
          <objectPr defaultSize="0" autoPict="0" r:id="rId7">
            <anchor moveWithCells="1" sizeWithCells="1">
              <from>
                <xdr:col>9</xdr:col>
                <xdr:colOff>200025</xdr:colOff>
                <xdr:row>19</xdr:row>
                <xdr:rowOff>28575</xdr:rowOff>
              </from>
              <to>
                <xdr:col>13</xdr:col>
                <xdr:colOff>276225</xdr:colOff>
                <xdr:row>22</xdr:row>
                <xdr:rowOff>9525</xdr:rowOff>
              </to>
            </anchor>
          </objectPr>
        </oleObject>
      </mc:Choice>
      <mc:Fallback>
        <oleObject progId="Equation.3" shapeId="205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5"/>
  <sheetViews>
    <sheetView topLeftCell="B1" zoomScale="107" zoomScaleNormal="107" workbookViewId="0">
      <selection activeCell="I12" sqref="I12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13</v>
      </c>
    </row>
    <row r="2" spans="1:15" ht="17.25" x14ac:dyDescent="0.25">
      <c r="A2" t="s">
        <v>53</v>
      </c>
      <c r="B2" s="4">
        <f>DATA!G6</f>
        <v>598</v>
      </c>
      <c r="C2" t="s">
        <v>15</v>
      </c>
      <c r="D2" s="44" t="s">
        <v>50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5" x14ac:dyDescent="0.25">
      <c r="C5" s="24">
        <v>63</v>
      </c>
      <c r="D5" s="148">
        <v>43</v>
      </c>
      <c r="E5" s="46"/>
      <c r="F5" s="53"/>
      <c r="G5" s="48"/>
      <c r="H5" s="46"/>
      <c r="I5" s="54"/>
      <c r="J5" s="48"/>
      <c r="K5" s="46"/>
      <c r="L5" s="55"/>
      <c r="N5" t="s">
        <v>160</v>
      </c>
    </row>
    <row r="6" spans="1:15" x14ac:dyDescent="0.25">
      <c r="A6" s="41"/>
      <c r="C6" s="17">
        <v>125</v>
      </c>
      <c r="D6" s="148">
        <v>42</v>
      </c>
      <c r="E6" s="19">
        <f>Weighted_Index(D6:D10,1,TRUE,FALSE)</f>
        <v>45</v>
      </c>
      <c r="F6" s="33">
        <f>MAX(0,E6-D6)</f>
        <v>3</v>
      </c>
      <c r="G6" s="30">
        <v>-21</v>
      </c>
      <c r="H6" s="19">
        <f>G6-D6</f>
        <v>-63</v>
      </c>
      <c r="I6" s="29">
        <f t="shared" ref="I6:I10" si="0">10^(H6/10)</f>
        <v>5.0118723362727218E-7</v>
      </c>
      <c r="J6" s="30">
        <v>-14</v>
      </c>
      <c r="K6" s="19">
        <f>J6-D6</f>
        <v>-56</v>
      </c>
      <c r="L6" s="26">
        <f t="shared" ref="L6:L10" si="1">10^(K6/10)</f>
        <v>2.5118864315095806E-6</v>
      </c>
      <c r="M6">
        <v>36</v>
      </c>
      <c r="N6">
        <f>M6 +9</f>
        <v>45</v>
      </c>
    </row>
    <row r="7" spans="1:15" x14ac:dyDescent="0.25">
      <c r="A7" s="41"/>
      <c r="C7" s="17">
        <v>250</v>
      </c>
      <c r="D7" s="148">
        <v>51</v>
      </c>
      <c r="E7" s="19">
        <f>Weighted_Index(D6:D10,2,TRUE,FALSE)</f>
        <v>54</v>
      </c>
      <c r="F7" s="33">
        <f t="shared" ref="F7:F10" si="2">MAX(0,E7-D7)</f>
        <v>3</v>
      </c>
      <c r="G7" s="30">
        <v>-14</v>
      </c>
      <c r="H7" s="19">
        <f t="shared" ref="H7:H10" si="3">G7-D7</f>
        <v>-65</v>
      </c>
      <c r="I7" s="29">
        <f t="shared" si="0"/>
        <v>3.1622776601683734E-7</v>
      </c>
      <c r="J7" s="30">
        <v>-10</v>
      </c>
      <c r="K7" s="19">
        <f t="shared" ref="K7:K10" si="4">J7-D7</f>
        <v>-61</v>
      </c>
      <c r="L7" s="26">
        <f t="shared" si="1"/>
        <v>7.9432823472428114E-7</v>
      </c>
      <c r="M7">
        <v>45</v>
      </c>
      <c r="N7">
        <f t="shared" ref="N7:N10" si="5">M7 +9</f>
        <v>54</v>
      </c>
    </row>
    <row r="8" spans="1:15" x14ac:dyDescent="0.25">
      <c r="A8" s="42"/>
      <c r="C8" s="20">
        <v>500</v>
      </c>
      <c r="D8" s="148">
        <v>59</v>
      </c>
      <c r="E8" s="21">
        <f>Weighted_Index(D6:D10,3,TRUE,FALSE)</f>
        <v>61</v>
      </c>
      <c r="F8" s="33">
        <f t="shared" si="2"/>
        <v>2</v>
      </c>
      <c r="G8" s="30">
        <v>-8</v>
      </c>
      <c r="H8" s="19">
        <f t="shared" si="3"/>
        <v>-67</v>
      </c>
      <c r="I8" s="29">
        <f t="shared" si="0"/>
        <v>1.9952623149688761E-7</v>
      </c>
      <c r="J8" s="30">
        <v>-7</v>
      </c>
      <c r="K8" s="19">
        <f t="shared" si="4"/>
        <v>-66</v>
      </c>
      <c r="L8" s="26">
        <f t="shared" si="1"/>
        <v>2.511886431509578E-7</v>
      </c>
      <c r="M8">
        <v>52</v>
      </c>
      <c r="N8">
        <f t="shared" si="5"/>
        <v>61</v>
      </c>
      <c r="O8" s="6"/>
    </row>
    <row r="9" spans="1:15" x14ac:dyDescent="0.25">
      <c r="A9" s="41"/>
      <c r="C9" s="22">
        <v>1000</v>
      </c>
      <c r="D9" s="148">
        <v>67</v>
      </c>
      <c r="E9" s="19">
        <f>Weighted_Index(D6:D10,4,TRUE,FALSE)</f>
        <v>64</v>
      </c>
      <c r="F9" s="33">
        <f t="shared" si="2"/>
        <v>0</v>
      </c>
      <c r="G9" s="30">
        <v>-5</v>
      </c>
      <c r="H9" s="19">
        <f t="shared" si="3"/>
        <v>-72</v>
      </c>
      <c r="I9" s="29">
        <f t="shared" si="0"/>
        <v>6.3095734448019177E-8</v>
      </c>
      <c r="J9" s="30">
        <v>-4</v>
      </c>
      <c r="K9" s="19">
        <f t="shared" si="4"/>
        <v>-71</v>
      </c>
      <c r="L9" s="26">
        <f t="shared" si="1"/>
        <v>7.943282347242818E-8</v>
      </c>
      <c r="M9">
        <v>55</v>
      </c>
      <c r="N9">
        <f t="shared" si="5"/>
        <v>64</v>
      </c>
    </row>
    <row r="10" spans="1:15" x14ac:dyDescent="0.25">
      <c r="A10" s="41"/>
      <c r="C10" s="22">
        <v>2000</v>
      </c>
      <c r="D10" s="148">
        <v>74</v>
      </c>
      <c r="E10" s="19">
        <f>Weighted_Index(D6:D10,5,TRUE,FALSE)</f>
        <v>65</v>
      </c>
      <c r="F10" s="33">
        <f t="shared" si="2"/>
        <v>0</v>
      </c>
      <c r="G10" s="30">
        <v>-4</v>
      </c>
      <c r="H10" s="19">
        <f t="shared" si="3"/>
        <v>-78</v>
      </c>
      <c r="I10" s="29">
        <f t="shared" si="0"/>
        <v>1.5848931924611133E-8</v>
      </c>
      <c r="J10" s="30">
        <v>-3</v>
      </c>
      <c r="K10" s="19">
        <f t="shared" si="4"/>
        <v>-77</v>
      </c>
      <c r="L10" s="26">
        <f t="shared" si="1"/>
        <v>1.9952623149688773E-8</v>
      </c>
      <c r="M10">
        <v>56</v>
      </c>
      <c r="N10">
        <f t="shared" si="5"/>
        <v>65</v>
      </c>
    </row>
    <row r="11" spans="1:15" ht="15.75" thickBot="1" x14ac:dyDescent="0.3">
      <c r="A11" s="41"/>
      <c r="C11" s="22">
        <v>4000</v>
      </c>
      <c r="D11" s="148">
        <v>75</v>
      </c>
      <c r="E11" s="47"/>
      <c r="F11" s="56"/>
      <c r="G11" s="51"/>
      <c r="H11" s="46"/>
      <c r="I11" s="54"/>
      <c r="J11" s="49"/>
      <c r="K11" s="46"/>
      <c r="L11" s="55"/>
    </row>
    <row r="12" spans="1:15" ht="18.75" thickBot="1" x14ac:dyDescent="0.3">
      <c r="C12" s="2" t="s">
        <v>37</v>
      </c>
      <c r="D12" s="50">
        <f>Weighted_Index(D6:D10,0,TRUE,FALSE)</f>
        <v>61</v>
      </c>
      <c r="E12" s="39" t="s">
        <v>48</v>
      </c>
      <c r="F12" s="52">
        <f>SUM(F6:F10)</f>
        <v>8</v>
      </c>
      <c r="G12" s="74" t="s">
        <v>45</v>
      </c>
      <c r="H12" s="34"/>
      <c r="I12" s="36">
        <f>-10*LOG10(SUM(I6:I10))</f>
        <v>59.602346617821908</v>
      </c>
      <c r="J12" s="74" t="s">
        <v>45</v>
      </c>
      <c r="K12" s="34"/>
      <c r="L12" s="37">
        <f>-10*LOG10(SUM(L6:L10))</f>
        <v>54.369001270971033</v>
      </c>
    </row>
    <row r="13" spans="1:15" ht="15.75" thickBot="1" x14ac:dyDescent="0.3">
      <c r="C13" s="2" t="s">
        <v>46</v>
      </c>
      <c r="D13" s="38">
        <f>INT(I12+0.49999)-D12</f>
        <v>-1</v>
      </c>
      <c r="E13" t="s">
        <v>2</v>
      </c>
    </row>
    <row r="14" spans="1:15" ht="18.75" thickBot="1" x14ac:dyDescent="0.4">
      <c r="C14" s="2" t="s">
        <v>47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15"/>
  <sheetViews>
    <sheetView zoomScale="107" zoomScaleNormal="107" workbookViewId="0">
      <selection activeCell="D5" sqref="D5:D1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5" x14ac:dyDescent="0.25">
      <c r="A1" s="2" t="s">
        <v>14</v>
      </c>
    </row>
    <row r="2" spans="1:15" ht="17.25" x14ac:dyDescent="0.25">
      <c r="A2" t="s">
        <v>53</v>
      </c>
      <c r="B2" s="4">
        <f>DATA!G7</f>
        <v>598</v>
      </c>
      <c r="C2" t="s">
        <v>15</v>
      </c>
      <c r="D2" s="44" t="s">
        <v>50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5" x14ac:dyDescent="0.25">
      <c r="C5" s="24">
        <v>63</v>
      </c>
      <c r="D5" s="148">
        <v>43</v>
      </c>
      <c r="E5" s="46"/>
      <c r="F5" s="53"/>
      <c r="G5" s="48"/>
      <c r="H5" s="46"/>
      <c r="I5" s="54"/>
      <c r="J5" s="48"/>
      <c r="K5" s="46"/>
      <c r="L5" s="55"/>
    </row>
    <row r="6" spans="1:15" x14ac:dyDescent="0.25">
      <c r="A6" s="41"/>
      <c r="C6" s="17">
        <v>125</v>
      </c>
      <c r="D6" s="148">
        <v>42</v>
      </c>
      <c r="E6" s="19">
        <f>Weighted_Index(D6:D10,1,TRUE,FALSE)</f>
        <v>45</v>
      </c>
      <c r="F6" s="33">
        <f>MAX(0,E6-D6)</f>
        <v>3</v>
      </c>
      <c r="G6" s="30">
        <v>-21</v>
      </c>
      <c r="H6" s="19">
        <f>G6-D6</f>
        <v>-63</v>
      </c>
      <c r="I6" s="29">
        <f t="shared" ref="I6:I10" si="0">10^(H6/10)</f>
        <v>5.0118723362727218E-7</v>
      </c>
      <c r="J6" s="30">
        <v>-14</v>
      </c>
      <c r="K6" s="19">
        <f>J6-D6</f>
        <v>-56</v>
      </c>
      <c r="L6" s="26">
        <f t="shared" ref="L6:L10" si="1">10^(K6/10)</f>
        <v>2.5118864315095806E-6</v>
      </c>
    </row>
    <row r="7" spans="1:15" x14ac:dyDescent="0.25">
      <c r="A7" s="41"/>
      <c r="C7" s="17">
        <v>250</v>
      </c>
      <c r="D7" s="148">
        <v>51</v>
      </c>
      <c r="E7" s="19">
        <f>Weighted_Index(D6:D10,2,TRUE,FALSE)</f>
        <v>54</v>
      </c>
      <c r="F7" s="33">
        <f t="shared" ref="F7:F10" si="2">MAX(0,E7-D7)</f>
        <v>3</v>
      </c>
      <c r="G7" s="30">
        <v>-14</v>
      </c>
      <c r="H7" s="19">
        <f t="shared" ref="H7:H10" si="3">G7-D7</f>
        <v>-65</v>
      </c>
      <c r="I7" s="29">
        <f t="shared" si="0"/>
        <v>3.1622776601683734E-7</v>
      </c>
      <c r="J7" s="30">
        <v>-10</v>
      </c>
      <c r="K7" s="19">
        <f t="shared" ref="K7:K10" si="4">J7-D7</f>
        <v>-61</v>
      </c>
      <c r="L7" s="26">
        <f t="shared" si="1"/>
        <v>7.9432823472428114E-7</v>
      </c>
    </row>
    <row r="8" spans="1:15" x14ac:dyDescent="0.25">
      <c r="A8" s="42"/>
      <c r="C8" s="20">
        <v>500</v>
      </c>
      <c r="D8" s="148">
        <v>59</v>
      </c>
      <c r="E8" s="21">
        <f>Weighted_Index(D6:D10,3,TRUE,FALSE)</f>
        <v>61</v>
      </c>
      <c r="F8" s="33">
        <f t="shared" si="2"/>
        <v>2</v>
      </c>
      <c r="G8" s="30">
        <v>-8</v>
      </c>
      <c r="H8" s="19">
        <f t="shared" si="3"/>
        <v>-67</v>
      </c>
      <c r="I8" s="29">
        <f t="shared" si="0"/>
        <v>1.9952623149688761E-7</v>
      </c>
      <c r="J8" s="30">
        <v>-7</v>
      </c>
      <c r="K8" s="19">
        <f t="shared" si="4"/>
        <v>-66</v>
      </c>
      <c r="L8" s="26">
        <f t="shared" si="1"/>
        <v>2.511886431509578E-7</v>
      </c>
      <c r="O8" s="6"/>
    </row>
    <row r="9" spans="1:15" x14ac:dyDescent="0.25">
      <c r="A9" s="41"/>
      <c r="C9" s="22">
        <v>1000</v>
      </c>
      <c r="D9" s="148">
        <v>67</v>
      </c>
      <c r="E9" s="19">
        <f>Weighted_Index(D6:D10,4,TRUE,FALSE)</f>
        <v>64</v>
      </c>
      <c r="F9" s="33">
        <f t="shared" si="2"/>
        <v>0</v>
      </c>
      <c r="G9" s="30">
        <v>-5</v>
      </c>
      <c r="H9" s="19">
        <f t="shared" si="3"/>
        <v>-72</v>
      </c>
      <c r="I9" s="29">
        <f t="shared" si="0"/>
        <v>6.3095734448019177E-8</v>
      </c>
      <c r="J9" s="30">
        <v>-4</v>
      </c>
      <c r="K9" s="19">
        <f t="shared" si="4"/>
        <v>-71</v>
      </c>
      <c r="L9" s="26">
        <f t="shared" si="1"/>
        <v>7.943282347242818E-8</v>
      </c>
    </row>
    <row r="10" spans="1:15" x14ac:dyDescent="0.25">
      <c r="A10" s="41"/>
      <c r="C10" s="22">
        <v>2000</v>
      </c>
      <c r="D10" s="148">
        <v>74</v>
      </c>
      <c r="E10" s="19">
        <f>Weighted_Index(D6:D10,5,TRUE,FALSE)</f>
        <v>65</v>
      </c>
      <c r="F10" s="33">
        <f t="shared" si="2"/>
        <v>0</v>
      </c>
      <c r="G10" s="30">
        <v>-4</v>
      </c>
      <c r="H10" s="19">
        <f t="shared" si="3"/>
        <v>-78</v>
      </c>
      <c r="I10" s="29">
        <f t="shared" si="0"/>
        <v>1.5848931924611133E-8</v>
      </c>
      <c r="J10" s="30">
        <v>-3</v>
      </c>
      <c r="K10" s="19">
        <f t="shared" si="4"/>
        <v>-77</v>
      </c>
      <c r="L10" s="26">
        <f t="shared" si="1"/>
        <v>1.9952623149688773E-8</v>
      </c>
    </row>
    <row r="11" spans="1:15" ht="15.75" thickBot="1" x14ac:dyDescent="0.3">
      <c r="A11" s="41"/>
      <c r="C11" s="22">
        <v>4000</v>
      </c>
      <c r="D11" s="148">
        <v>75</v>
      </c>
      <c r="E11" s="47"/>
      <c r="F11" s="56"/>
      <c r="G11" s="51"/>
      <c r="H11" s="46"/>
      <c r="I11" s="54"/>
      <c r="J11" s="49"/>
      <c r="K11" s="46"/>
      <c r="L11" s="55"/>
    </row>
    <row r="12" spans="1:15" ht="19.5" thickBot="1" x14ac:dyDescent="0.4">
      <c r="C12" s="2" t="s">
        <v>37</v>
      </c>
      <c r="D12" s="50">
        <f>Weighted_Index(D6:D10,0,TRUE,FALSE)</f>
        <v>61</v>
      </c>
      <c r="E12" s="39" t="s">
        <v>48</v>
      </c>
      <c r="F12" s="52">
        <f>SUM(F6:F10)</f>
        <v>8</v>
      </c>
      <c r="G12" s="75" t="s">
        <v>45</v>
      </c>
      <c r="H12" s="34"/>
      <c r="I12" s="36">
        <f>-10*LOG10(SUM(I6:I10))</f>
        <v>59.602346617821908</v>
      </c>
      <c r="J12" s="75" t="s">
        <v>45</v>
      </c>
      <c r="K12" s="34"/>
      <c r="L12" s="37">
        <f>-10*LOG10(SUM(L6:L10))</f>
        <v>54.369001270971033</v>
      </c>
    </row>
    <row r="13" spans="1:15" ht="15.75" thickBot="1" x14ac:dyDescent="0.3">
      <c r="C13" s="2" t="s">
        <v>46</v>
      </c>
      <c r="D13" s="38">
        <f>INT(I12+0.49999)-D12</f>
        <v>-1</v>
      </c>
      <c r="E13" t="s">
        <v>2</v>
      </c>
    </row>
    <row r="14" spans="1:15" ht="18.75" thickBot="1" x14ac:dyDescent="0.4">
      <c r="C14" s="2" t="s">
        <v>47</v>
      </c>
      <c r="D14" s="25">
        <f>INT(L12+0.49999)-D12</f>
        <v>-7</v>
      </c>
      <c r="E14" t="s">
        <v>2</v>
      </c>
      <c r="G14" s="1"/>
    </row>
    <row r="15" spans="1:15" x14ac:dyDescent="0.25">
      <c r="D15" s="7"/>
    </row>
  </sheetData>
  <conditionalFormatting sqref="F5:F11"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4"/>
  <sheetViews>
    <sheetView zoomScale="107" zoomScaleNormal="107" workbookViewId="0">
      <selection activeCell="E8" sqref="E8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49</v>
      </c>
    </row>
    <row r="2" spans="1:12" ht="17.25" x14ac:dyDescent="0.25">
      <c r="A2" t="s">
        <v>53</v>
      </c>
      <c r="B2" s="4">
        <f>DATA!G8</f>
        <v>285</v>
      </c>
      <c r="C2" t="s">
        <v>15</v>
      </c>
      <c r="D2" s="44" t="s">
        <v>50</v>
      </c>
    </row>
    <row r="3" spans="1:12" x14ac:dyDescent="0.25">
      <c r="C3" s="40"/>
    </row>
    <row r="4" spans="1:12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2" x14ac:dyDescent="0.25">
      <c r="A5" s="41"/>
      <c r="C5" s="17">
        <v>100</v>
      </c>
      <c r="D5" s="148">
        <v>39.299999999999997</v>
      </c>
      <c r="E5" s="18">
        <f>Weighted_Index(D5:D20,1,FALSE,FALSE)</f>
        <v>32</v>
      </c>
      <c r="F5" s="32">
        <f t="shared" ref="F5:F20" si="0">MAX(0,E5-D5)</f>
        <v>0</v>
      </c>
      <c r="G5" s="30">
        <v>-29</v>
      </c>
      <c r="H5" s="19">
        <f t="shared" ref="H5:H20" si="1">G5-D5</f>
        <v>-68.3</v>
      </c>
      <c r="I5" s="29">
        <f>10^(H5/10)</f>
        <v>1.479108388168204E-7</v>
      </c>
      <c r="J5" s="30">
        <v>-20</v>
      </c>
      <c r="K5" s="19">
        <f t="shared" ref="K5:K20" si="2">J5-D5</f>
        <v>-59.3</v>
      </c>
      <c r="L5" s="26">
        <f>10^(K5/10)</f>
        <v>1.1748975549395291E-6</v>
      </c>
    </row>
    <row r="6" spans="1:12" x14ac:dyDescent="0.25">
      <c r="A6" s="41"/>
      <c r="C6" s="17">
        <v>125</v>
      </c>
      <c r="D6" s="148">
        <v>40.1</v>
      </c>
      <c r="E6" s="19">
        <f>Weighted_Index(D5:D20,2,FALSE,FALSE)</f>
        <v>35</v>
      </c>
      <c r="F6" s="33">
        <f t="shared" si="0"/>
        <v>0</v>
      </c>
      <c r="G6" s="30">
        <v>-26</v>
      </c>
      <c r="H6" s="19">
        <f t="shared" si="1"/>
        <v>-66.099999999999994</v>
      </c>
      <c r="I6" s="29">
        <f t="shared" ref="I6:I20" si="3">10^(H6/10)</f>
        <v>2.4547089156850283E-7</v>
      </c>
      <c r="J6" s="30">
        <v>-20</v>
      </c>
      <c r="K6" s="19">
        <f t="shared" si="2"/>
        <v>-60.1</v>
      </c>
      <c r="L6" s="26">
        <f t="shared" ref="L6:L20" si="4">10^(K6/10)</f>
        <v>9.7723722095580961E-7</v>
      </c>
    </row>
    <row r="7" spans="1:12" x14ac:dyDescent="0.25">
      <c r="A7" s="41"/>
      <c r="C7" s="17">
        <v>160</v>
      </c>
      <c r="D7" s="148">
        <v>42.7</v>
      </c>
      <c r="E7" s="19">
        <f>Weighted_Index(D5:D20,3,FALSE,FALSE)</f>
        <v>38</v>
      </c>
      <c r="F7" s="33">
        <f t="shared" si="0"/>
        <v>0</v>
      </c>
      <c r="G7" s="30">
        <v>-23</v>
      </c>
      <c r="H7" s="19">
        <f t="shared" si="1"/>
        <v>-65.7</v>
      </c>
      <c r="I7" s="29">
        <f t="shared" si="3"/>
        <v>2.691534803926908E-7</v>
      </c>
      <c r="J7" s="30">
        <v>-18</v>
      </c>
      <c r="K7" s="19">
        <f t="shared" si="2"/>
        <v>-60.7</v>
      </c>
      <c r="L7" s="26">
        <f t="shared" si="4"/>
        <v>8.511380382023744E-7</v>
      </c>
    </row>
    <row r="8" spans="1:12" x14ac:dyDescent="0.25">
      <c r="A8" s="41"/>
      <c r="C8" s="17">
        <v>200</v>
      </c>
      <c r="D8" s="148">
        <v>42.9</v>
      </c>
      <c r="E8" s="19">
        <f>Weighted_Index(D5:D20,4,FALSE,FALSE)</f>
        <v>41</v>
      </c>
      <c r="F8" s="33">
        <f t="shared" si="0"/>
        <v>0</v>
      </c>
      <c r="G8" s="30">
        <v>-21</v>
      </c>
      <c r="H8" s="19">
        <f t="shared" si="1"/>
        <v>-63.9</v>
      </c>
      <c r="I8" s="29">
        <f t="shared" si="3"/>
        <v>4.0738027780411229E-7</v>
      </c>
      <c r="J8" s="30">
        <v>-16</v>
      </c>
      <c r="K8" s="19">
        <f t="shared" si="2"/>
        <v>-58.9</v>
      </c>
      <c r="L8" s="26">
        <f t="shared" si="4"/>
        <v>1.2882495516931333E-6</v>
      </c>
    </row>
    <row r="9" spans="1:12" x14ac:dyDescent="0.25">
      <c r="A9" s="41"/>
      <c r="C9" s="17">
        <v>250</v>
      </c>
      <c r="D9" s="148">
        <v>43</v>
      </c>
      <c r="E9" s="19">
        <f>Weighted_Index(D5:D20,5,FALSE,FALSE)</f>
        <v>44</v>
      </c>
      <c r="F9" s="32">
        <f t="shared" si="0"/>
        <v>1</v>
      </c>
      <c r="G9" s="30">
        <v>-19</v>
      </c>
      <c r="H9" s="19">
        <f t="shared" si="1"/>
        <v>-62</v>
      </c>
      <c r="I9" s="29">
        <f t="shared" si="3"/>
        <v>6.3095734448019254E-7</v>
      </c>
      <c r="J9" s="30">
        <v>-15</v>
      </c>
      <c r="K9" s="19">
        <f t="shared" si="2"/>
        <v>-58</v>
      </c>
      <c r="L9" s="26">
        <f t="shared" si="4"/>
        <v>1.5848931924611111E-6</v>
      </c>
    </row>
    <row r="10" spans="1:12" x14ac:dyDescent="0.25">
      <c r="A10" s="41"/>
      <c r="C10" s="17">
        <v>315</v>
      </c>
      <c r="D10" s="148">
        <v>45.5</v>
      </c>
      <c r="E10" s="19">
        <f>Weighted_Index(D5:D20,6,FALSE,FALSE)</f>
        <v>47</v>
      </c>
      <c r="F10" s="33">
        <f t="shared" si="0"/>
        <v>1.5</v>
      </c>
      <c r="G10" s="30">
        <v>-17</v>
      </c>
      <c r="H10" s="19">
        <f t="shared" si="1"/>
        <v>-62.5</v>
      </c>
      <c r="I10" s="29">
        <f t="shared" si="3"/>
        <v>5.6234132519034872E-7</v>
      </c>
      <c r="J10" s="30">
        <v>-14</v>
      </c>
      <c r="K10" s="19">
        <f t="shared" si="2"/>
        <v>-59.5</v>
      </c>
      <c r="L10" s="26">
        <f t="shared" si="4"/>
        <v>1.1220184543019616E-6</v>
      </c>
    </row>
    <row r="11" spans="1:12" x14ac:dyDescent="0.25">
      <c r="A11" s="41"/>
      <c r="C11" s="17">
        <v>400</v>
      </c>
      <c r="D11" s="148">
        <v>45.4</v>
      </c>
      <c r="E11" s="19">
        <f>Weighted_Index(D5:D20,7,FALSE,FALSE)</f>
        <v>50</v>
      </c>
      <c r="F11" s="33">
        <f t="shared" si="0"/>
        <v>4.6000000000000014</v>
      </c>
      <c r="G11" s="30">
        <v>-15</v>
      </c>
      <c r="H11" s="19">
        <f t="shared" si="1"/>
        <v>-60.4</v>
      </c>
      <c r="I11" s="29">
        <f t="shared" si="3"/>
        <v>9.12010839355909E-7</v>
      </c>
      <c r="J11" s="30">
        <v>-13</v>
      </c>
      <c r="K11" s="19">
        <f t="shared" si="2"/>
        <v>-58.4</v>
      </c>
      <c r="L11" s="26">
        <f t="shared" si="4"/>
        <v>1.445439770745926E-6</v>
      </c>
    </row>
    <row r="12" spans="1:12" x14ac:dyDescent="0.25">
      <c r="A12" s="45"/>
      <c r="C12" s="20">
        <v>500</v>
      </c>
      <c r="D12" s="148">
        <v>47</v>
      </c>
      <c r="E12" s="21">
        <f>Weighted_Index(D5:D20,8,FALSE,FALSE)</f>
        <v>51</v>
      </c>
      <c r="F12" s="33">
        <f t="shared" si="0"/>
        <v>4</v>
      </c>
      <c r="G12" s="30">
        <v>-13</v>
      </c>
      <c r="H12" s="19">
        <f t="shared" si="1"/>
        <v>-60</v>
      </c>
      <c r="I12" s="29">
        <f t="shared" si="3"/>
        <v>9.9999999999999995E-7</v>
      </c>
      <c r="J12" s="30">
        <v>-12</v>
      </c>
      <c r="K12" s="19">
        <f t="shared" si="2"/>
        <v>-59</v>
      </c>
      <c r="L12" s="26">
        <f t="shared" si="4"/>
        <v>1.2589254117941642E-6</v>
      </c>
    </row>
    <row r="13" spans="1:12" x14ac:dyDescent="0.25">
      <c r="A13" s="41"/>
      <c r="C13" s="17">
        <v>630</v>
      </c>
      <c r="D13" s="148">
        <v>48.6</v>
      </c>
      <c r="E13" s="19">
        <f>Weighted_Index(D5:D20,9,FALSE,FALSE)</f>
        <v>52</v>
      </c>
      <c r="F13" s="33">
        <f t="shared" si="0"/>
        <v>3.3999999999999986</v>
      </c>
      <c r="G13" s="30">
        <v>-12</v>
      </c>
      <c r="H13" s="19">
        <f t="shared" si="1"/>
        <v>-60.6</v>
      </c>
      <c r="I13" s="29">
        <f t="shared" si="3"/>
        <v>8.7096358995607855E-7</v>
      </c>
      <c r="J13" s="30">
        <v>-11</v>
      </c>
      <c r="K13" s="19">
        <f t="shared" si="2"/>
        <v>-59.6</v>
      </c>
      <c r="L13" s="26">
        <f t="shared" si="4"/>
        <v>1.0964781961431832E-6</v>
      </c>
    </row>
    <row r="14" spans="1:12" x14ac:dyDescent="0.25">
      <c r="A14" s="41"/>
      <c r="C14" s="17">
        <v>800</v>
      </c>
      <c r="D14" s="148">
        <v>49.5</v>
      </c>
      <c r="E14" s="19">
        <f>Weighted_Index(D5:D20,10,FALSE,FALSE)</f>
        <v>53</v>
      </c>
      <c r="F14" s="33">
        <f t="shared" si="0"/>
        <v>3.5</v>
      </c>
      <c r="G14" s="30">
        <v>-11</v>
      </c>
      <c r="H14" s="19">
        <f t="shared" si="1"/>
        <v>-60.5</v>
      </c>
      <c r="I14" s="29">
        <f t="shared" si="3"/>
        <v>8.9125093813374487E-7</v>
      </c>
      <c r="J14" s="30">
        <v>-9</v>
      </c>
      <c r="K14" s="19">
        <f t="shared" si="2"/>
        <v>-58.5</v>
      </c>
      <c r="L14" s="26">
        <f t="shared" si="4"/>
        <v>1.4125375446227531E-6</v>
      </c>
    </row>
    <row r="15" spans="1:12" x14ac:dyDescent="0.25">
      <c r="A15" s="41"/>
      <c r="C15" s="22">
        <v>1000</v>
      </c>
      <c r="D15" s="148">
        <v>50.8</v>
      </c>
      <c r="E15" s="19">
        <f>Weighted_Index(D5:D20,11,FALSE,FALSE)</f>
        <v>54</v>
      </c>
      <c r="F15" s="33">
        <f t="shared" si="0"/>
        <v>3.2000000000000028</v>
      </c>
      <c r="G15" s="30">
        <v>-10</v>
      </c>
      <c r="H15" s="19">
        <f t="shared" si="1"/>
        <v>-60.8</v>
      </c>
      <c r="I15" s="29">
        <f t="shared" si="3"/>
        <v>8.3176377110266907E-7</v>
      </c>
      <c r="J15" s="30">
        <v>-8</v>
      </c>
      <c r="K15" s="19">
        <f t="shared" si="2"/>
        <v>-58.8</v>
      </c>
      <c r="L15" s="26">
        <f t="shared" si="4"/>
        <v>1.3182567385564063E-6</v>
      </c>
    </row>
    <row r="16" spans="1:12" x14ac:dyDescent="0.25">
      <c r="A16" s="41"/>
      <c r="C16" s="22">
        <v>1250</v>
      </c>
      <c r="D16" s="148">
        <v>52</v>
      </c>
      <c r="E16" s="19">
        <f>Weighted_Index(D5:D20,12,FALSE,FALSE)</f>
        <v>55</v>
      </c>
      <c r="F16" s="33">
        <f t="shared" si="0"/>
        <v>3</v>
      </c>
      <c r="G16" s="30">
        <v>-9</v>
      </c>
      <c r="H16" s="19">
        <f t="shared" si="1"/>
        <v>-61</v>
      </c>
      <c r="I16" s="29">
        <f t="shared" si="3"/>
        <v>7.9432823472428114E-7</v>
      </c>
      <c r="J16" s="30">
        <v>-9</v>
      </c>
      <c r="K16" s="19">
        <f t="shared" si="2"/>
        <v>-61</v>
      </c>
      <c r="L16" s="26">
        <f t="shared" si="4"/>
        <v>7.9432823472428114E-7</v>
      </c>
    </row>
    <row r="17" spans="1:12" x14ac:dyDescent="0.25">
      <c r="A17" s="41"/>
      <c r="C17" s="22">
        <v>1600</v>
      </c>
      <c r="D17" s="148">
        <v>55.1</v>
      </c>
      <c r="E17" s="19">
        <f>Weighted_Index(D5:D20,13,FALSE,FALSE)</f>
        <v>55</v>
      </c>
      <c r="F17" s="33">
        <f t="shared" si="0"/>
        <v>0</v>
      </c>
      <c r="G17" s="30">
        <v>-9</v>
      </c>
      <c r="H17" s="19">
        <f t="shared" si="1"/>
        <v>-64.099999999999994</v>
      </c>
      <c r="I17" s="29">
        <f t="shared" si="3"/>
        <v>3.8904514499428091E-7</v>
      </c>
      <c r="J17" s="30">
        <v>-10</v>
      </c>
      <c r="K17" s="19">
        <f t="shared" si="2"/>
        <v>-65.099999999999994</v>
      </c>
      <c r="L17" s="26">
        <f t="shared" si="4"/>
        <v>3.090295432513585E-7</v>
      </c>
    </row>
    <row r="18" spans="1:12" x14ac:dyDescent="0.25">
      <c r="A18" s="41"/>
      <c r="C18" s="22">
        <v>2000</v>
      </c>
      <c r="D18" s="148">
        <v>56.3</v>
      </c>
      <c r="E18" s="19">
        <f>Weighted_Index(D5:D20,14,FALSE,FALSE)</f>
        <v>55</v>
      </c>
      <c r="F18" s="33">
        <f t="shared" si="0"/>
        <v>0</v>
      </c>
      <c r="G18" s="30">
        <v>-9</v>
      </c>
      <c r="H18" s="19">
        <f t="shared" si="1"/>
        <v>-65.3</v>
      </c>
      <c r="I18" s="29">
        <f t="shared" si="3"/>
        <v>2.9512092266663867E-7</v>
      </c>
      <c r="J18" s="30">
        <v>-11</v>
      </c>
      <c r="K18" s="19">
        <f t="shared" si="2"/>
        <v>-67.3</v>
      </c>
      <c r="L18" s="26">
        <f t="shared" si="4"/>
        <v>1.8620871366628682E-7</v>
      </c>
    </row>
    <row r="19" spans="1:12" x14ac:dyDescent="0.25">
      <c r="A19" s="41"/>
      <c r="C19" s="22">
        <v>2500</v>
      </c>
      <c r="D19" s="148">
        <v>53.4</v>
      </c>
      <c r="E19" s="19">
        <f>Weighted_Index(D5:D20,15,FALSE,FALSE)</f>
        <v>55</v>
      </c>
      <c r="F19" s="33">
        <f t="shared" si="0"/>
        <v>1.6000000000000014</v>
      </c>
      <c r="G19" s="30">
        <v>-9</v>
      </c>
      <c r="H19" s="19">
        <f t="shared" si="1"/>
        <v>-62.4</v>
      </c>
      <c r="I19" s="29">
        <f t="shared" si="3"/>
        <v>5.7543993733715549E-7</v>
      </c>
      <c r="J19" s="30">
        <v>-13</v>
      </c>
      <c r="K19" s="19">
        <f t="shared" si="2"/>
        <v>-66.400000000000006</v>
      </c>
      <c r="L19" s="26">
        <f t="shared" si="4"/>
        <v>2.2908676527677676E-7</v>
      </c>
    </row>
    <row r="20" spans="1:12" ht="15.75" thickBot="1" x14ac:dyDescent="0.3">
      <c r="A20" s="41"/>
      <c r="C20" s="22">
        <v>3150</v>
      </c>
      <c r="D20" s="148">
        <v>55.4</v>
      </c>
      <c r="E20" s="19">
        <f>Weighted_Index(D5:D20,16,FALSE,FALSE)</f>
        <v>55</v>
      </c>
      <c r="F20" s="33">
        <f t="shared" si="0"/>
        <v>0</v>
      </c>
      <c r="G20" s="30">
        <v>-9</v>
      </c>
      <c r="H20" s="19">
        <f t="shared" si="1"/>
        <v>-64.400000000000006</v>
      </c>
      <c r="I20" s="29">
        <f t="shared" si="3"/>
        <v>3.6307805477010047E-7</v>
      </c>
      <c r="J20" s="30">
        <v>-15</v>
      </c>
      <c r="K20" s="19">
        <f t="shared" si="2"/>
        <v>-70.400000000000006</v>
      </c>
      <c r="L20" s="26">
        <f t="shared" si="4"/>
        <v>9.120108393559062E-8</v>
      </c>
    </row>
    <row r="21" spans="1:12" ht="18.75" thickBot="1" x14ac:dyDescent="0.3">
      <c r="C21" s="2" t="s">
        <v>37</v>
      </c>
      <c r="D21" s="23">
        <f>Weighted_Index(D5:D20,0,FALSE,FALSE)</f>
        <v>51</v>
      </c>
      <c r="E21" s="39" t="s">
        <v>48</v>
      </c>
      <c r="F21" s="35">
        <f>SUM(F5:F20)</f>
        <v>25.800000000000004</v>
      </c>
      <c r="G21" s="74" t="s">
        <v>45</v>
      </c>
      <c r="H21" s="34"/>
      <c r="I21" s="36">
        <f>-10*LOG10(SUM(I5:I20))</f>
        <v>50.368633663413036</v>
      </c>
      <c r="J21" s="74" t="s">
        <v>45</v>
      </c>
      <c r="K21" s="34"/>
      <c r="L21" s="37">
        <f>-10*LOG10(SUM(L5:L20))</f>
        <v>48.198762471105965</v>
      </c>
    </row>
    <row r="22" spans="1:12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2" ht="18.75" thickBot="1" x14ac:dyDescent="0.4">
      <c r="C23" s="2" t="s">
        <v>47</v>
      </c>
      <c r="D23" s="25">
        <f>INT(L21+0.49999)-D21</f>
        <v>-3</v>
      </c>
      <c r="E23" t="s">
        <v>2</v>
      </c>
    </row>
    <row r="24" spans="1:12" x14ac:dyDescent="0.25">
      <c r="D24" s="7"/>
    </row>
  </sheetData>
  <conditionalFormatting sqref="F5:F20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24"/>
  <sheetViews>
    <sheetView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</cols>
  <sheetData>
    <row r="1" spans="1:12" x14ac:dyDescent="0.25">
      <c r="A1" s="2" t="s">
        <v>55</v>
      </c>
    </row>
    <row r="2" spans="1:12" ht="17.25" x14ac:dyDescent="0.25">
      <c r="A2" t="s">
        <v>53</v>
      </c>
      <c r="B2" s="4">
        <f>DATA!G13</f>
        <v>25</v>
      </c>
      <c r="C2" t="s">
        <v>15</v>
      </c>
      <c r="D2" s="44" t="s">
        <v>50</v>
      </c>
      <c r="G2" s="60"/>
    </row>
    <row r="3" spans="1:12" x14ac:dyDescent="0.25">
      <c r="C3" s="40"/>
    </row>
    <row r="4" spans="1:12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</row>
    <row r="5" spans="1:12" x14ac:dyDescent="0.25">
      <c r="A5" s="41"/>
      <c r="C5" s="17">
        <v>100</v>
      </c>
      <c r="D5" s="148">
        <v>26.5</v>
      </c>
      <c r="E5" s="18">
        <f>Weighted_Index(D5:D20,1,FALSE,FALSE)</f>
        <v>18</v>
      </c>
      <c r="F5" s="32">
        <f t="shared" ref="F5:F20" si="0">MAX(0,E5-D5)</f>
        <v>0</v>
      </c>
      <c r="G5" s="30">
        <v>-29</v>
      </c>
      <c r="H5" s="19">
        <f t="shared" ref="H5:H20" si="1">G5-D5</f>
        <v>-55.5</v>
      </c>
      <c r="I5" s="29">
        <f>10^(H5/10)</f>
        <v>2.818382931264453E-6</v>
      </c>
      <c r="J5" s="30">
        <v>-20</v>
      </c>
      <c r="K5" s="19">
        <f t="shared" ref="K5:K20" si="2">J5-D5</f>
        <v>-46.5</v>
      </c>
      <c r="L5" s="26">
        <f>10^(K5/10)</f>
        <v>2.2387211385683359E-5</v>
      </c>
    </row>
    <row r="6" spans="1:12" x14ac:dyDescent="0.25">
      <c r="A6" s="41"/>
      <c r="C6" s="17">
        <v>125</v>
      </c>
      <c r="D6" s="148">
        <v>27.5</v>
      </c>
      <c r="E6" s="19">
        <f>Weighted_Index(D5:D20,2,FALSE,FALSE)</f>
        <v>21</v>
      </c>
      <c r="F6" s="33">
        <f t="shared" si="0"/>
        <v>0</v>
      </c>
      <c r="G6" s="30">
        <v>-26</v>
      </c>
      <c r="H6" s="19">
        <f t="shared" si="1"/>
        <v>-53.5</v>
      </c>
      <c r="I6" s="29">
        <f t="shared" ref="I6:I20" si="3">10^(H6/10)</f>
        <v>4.4668359215096296E-6</v>
      </c>
      <c r="J6" s="30">
        <v>-20</v>
      </c>
      <c r="K6" s="19">
        <f t="shared" si="2"/>
        <v>-47.5</v>
      </c>
      <c r="L6" s="26">
        <f t="shared" ref="L6:L20" si="4">10^(K6/10)</f>
        <v>1.7782794100389215E-5</v>
      </c>
    </row>
    <row r="7" spans="1:12" x14ac:dyDescent="0.25">
      <c r="A7" s="41"/>
      <c r="C7" s="17">
        <v>160</v>
      </c>
      <c r="D7" s="148">
        <v>26.5</v>
      </c>
      <c r="E7" s="19">
        <f>Weighted_Index(D5:D20,3,FALSE,FALSE)</f>
        <v>24</v>
      </c>
      <c r="F7" s="33">
        <f t="shared" si="0"/>
        <v>0</v>
      </c>
      <c r="G7" s="30">
        <v>-23</v>
      </c>
      <c r="H7" s="19">
        <f t="shared" si="1"/>
        <v>-49.5</v>
      </c>
      <c r="I7" s="29">
        <f t="shared" si="3"/>
        <v>1.1220184543019627E-5</v>
      </c>
      <c r="J7" s="30">
        <v>-18</v>
      </c>
      <c r="K7" s="19">
        <f t="shared" si="2"/>
        <v>-44.5</v>
      </c>
      <c r="L7" s="26">
        <f t="shared" si="4"/>
        <v>3.5481338923357479E-5</v>
      </c>
    </row>
    <row r="8" spans="1:12" x14ac:dyDescent="0.25">
      <c r="A8" s="41"/>
      <c r="C8" s="17">
        <v>200</v>
      </c>
      <c r="D8" s="148">
        <v>26</v>
      </c>
      <c r="E8" s="19">
        <f>Weighted_Index(D5:D20,4,FALSE,FALSE)</f>
        <v>27</v>
      </c>
      <c r="F8" s="33">
        <f t="shared" si="0"/>
        <v>1</v>
      </c>
      <c r="G8" s="30">
        <v>-21</v>
      </c>
      <c r="H8" s="19">
        <f t="shared" si="1"/>
        <v>-47</v>
      </c>
      <c r="I8" s="29">
        <f t="shared" si="3"/>
        <v>1.9952623149688769E-5</v>
      </c>
      <c r="J8" s="30">
        <v>-16</v>
      </c>
      <c r="K8" s="19">
        <f t="shared" si="2"/>
        <v>-42</v>
      </c>
      <c r="L8" s="26">
        <f t="shared" si="4"/>
        <v>6.3095734448019279E-5</v>
      </c>
    </row>
    <row r="9" spans="1:12" x14ac:dyDescent="0.25">
      <c r="A9" s="41"/>
      <c r="C9" s="17">
        <v>250</v>
      </c>
      <c r="D9" s="148">
        <v>30</v>
      </c>
      <c r="E9" s="19">
        <f>Weighted_Index(D5:D20,5,FALSE,FALSE)</f>
        <v>30</v>
      </c>
      <c r="F9" s="32">
        <f t="shared" si="0"/>
        <v>0</v>
      </c>
      <c r="G9" s="30">
        <v>-19</v>
      </c>
      <c r="H9" s="19">
        <f t="shared" si="1"/>
        <v>-49</v>
      </c>
      <c r="I9" s="29">
        <f t="shared" si="3"/>
        <v>1.2589254117941658E-5</v>
      </c>
      <c r="J9" s="30">
        <v>-15</v>
      </c>
      <c r="K9" s="19">
        <f t="shared" si="2"/>
        <v>-45</v>
      </c>
      <c r="L9" s="26">
        <f t="shared" si="4"/>
        <v>3.1622776601683748E-5</v>
      </c>
    </row>
    <row r="10" spans="1:12" x14ac:dyDescent="0.25">
      <c r="A10" s="41"/>
      <c r="C10" s="17">
        <v>315</v>
      </c>
      <c r="D10" s="148">
        <v>31.5</v>
      </c>
      <c r="E10" s="19">
        <f>Weighted_Index(D5:D20,6,FALSE,FALSE)</f>
        <v>33</v>
      </c>
      <c r="F10" s="33">
        <f t="shared" si="0"/>
        <v>1.5</v>
      </c>
      <c r="G10" s="30">
        <v>-17</v>
      </c>
      <c r="H10" s="19">
        <f t="shared" si="1"/>
        <v>-48.5</v>
      </c>
      <c r="I10" s="29">
        <f t="shared" si="3"/>
        <v>1.4125375446227545E-5</v>
      </c>
      <c r="J10" s="30">
        <v>-14</v>
      </c>
      <c r="K10" s="19">
        <f t="shared" si="2"/>
        <v>-45.5</v>
      </c>
      <c r="L10" s="26">
        <f t="shared" si="4"/>
        <v>2.8183829312644511E-5</v>
      </c>
    </row>
    <row r="11" spans="1:12" x14ac:dyDescent="0.25">
      <c r="A11" s="41"/>
      <c r="C11" s="17">
        <v>400</v>
      </c>
      <c r="D11" s="148">
        <v>32</v>
      </c>
      <c r="E11" s="19">
        <f>Weighted_Index(D5:D20,7,FALSE,FALSE)</f>
        <v>36</v>
      </c>
      <c r="F11" s="33">
        <f t="shared" si="0"/>
        <v>4</v>
      </c>
      <c r="G11" s="30">
        <v>-15</v>
      </c>
      <c r="H11" s="19">
        <f t="shared" si="1"/>
        <v>-47</v>
      </c>
      <c r="I11" s="29">
        <f t="shared" si="3"/>
        <v>1.9952623149688769E-5</v>
      </c>
      <c r="J11" s="30">
        <v>-13</v>
      </c>
      <c r="K11" s="19">
        <f t="shared" si="2"/>
        <v>-45</v>
      </c>
      <c r="L11" s="26">
        <f t="shared" si="4"/>
        <v>3.1622776601683748E-5</v>
      </c>
    </row>
    <row r="12" spans="1:12" x14ac:dyDescent="0.25">
      <c r="A12" s="45"/>
      <c r="C12" s="20">
        <v>500</v>
      </c>
      <c r="D12" s="148">
        <v>35</v>
      </c>
      <c r="E12" s="21">
        <f>Weighted_Index(D5:D20,8,FALSE,FALSE)</f>
        <v>37</v>
      </c>
      <c r="F12" s="33">
        <f t="shared" si="0"/>
        <v>2</v>
      </c>
      <c r="G12" s="30">
        <v>-13</v>
      </c>
      <c r="H12" s="19">
        <f t="shared" si="1"/>
        <v>-48</v>
      </c>
      <c r="I12" s="29">
        <f t="shared" si="3"/>
        <v>1.5848931924611131E-5</v>
      </c>
      <c r="J12" s="30">
        <v>-12</v>
      </c>
      <c r="K12" s="19">
        <f t="shared" si="2"/>
        <v>-47</v>
      </c>
      <c r="L12" s="26">
        <f t="shared" si="4"/>
        <v>1.9952623149688769E-5</v>
      </c>
    </row>
    <row r="13" spans="1:12" x14ac:dyDescent="0.25">
      <c r="A13" s="41"/>
      <c r="C13" s="17">
        <v>630</v>
      </c>
      <c r="D13" s="148">
        <v>35.5</v>
      </c>
      <c r="E13" s="19">
        <f>Weighted_Index(D5:D20,9,FALSE,FALSE)</f>
        <v>38</v>
      </c>
      <c r="F13" s="33">
        <f t="shared" si="0"/>
        <v>2.5</v>
      </c>
      <c r="G13" s="30">
        <v>-12</v>
      </c>
      <c r="H13" s="19">
        <f t="shared" si="1"/>
        <v>-47.5</v>
      </c>
      <c r="I13" s="29">
        <f t="shared" si="3"/>
        <v>1.7782794100389215E-5</v>
      </c>
      <c r="J13" s="30">
        <v>-11</v>
      </c>
      <c r="K13" s="19">
        <f t="shared" si="2"/>
        <v>-46.5</v>
      </c>
      <c r="L13" s="26">
        <f t="shared" si="4"/>
        <v>2.2387211385683359E-5</v>
      </c>
    </row>
    <row r="14" spans="1:12" x14ac:dyDescent="0.25">
      <c r="A14" s="41"/>
      <c r="C14" s="17">
        <v>800</v>
      </c>
      <c r="D14" s="148">
        <v>36</v>
      </c>
      <c r="E14" s="19">
        <f>Weighted_Index(D5:D20,10,FALSE,FALSE)</f>
        <v>39</v>
      </c>
      <c r="F14" s="33">
        <f t="shared" si="0"/>
        <v>3</v>
      </c>
      <c r="G14" s="30">
        <v>-11</v>
      </c>
      <c r="H14" s="19">
        <f t="shared" si="1"/>
        <v>-47</v>
      </c>
      <c r="I14" s="29">
        <f t="shared" si="3"/>
        <v>1.9952623149688769E-5</v>
      </c>
      <c r="J14" s="30">
        <v>-9</v>
      </c>
      <c r="K14" s="19">
        <f t="shared" si="2"/>
        <v>-45</v>
      </c>
      <c r="L14" s="26">
        <f t="shared" si="4"/>
        <v>3.1622776601683748E-5</v>
      </c>
    </row>
    <row r="15" spans="1:12" x14ac:dyDescent="0.25">
      <c r="A15" s="41"/>
      <c r="C15" s="22">
        <v>1000</v>
      </c>
      <c r="D15" s="148">
        <v>36.5</v>
      </c>
      <c r="E15" s="19">
        <f>Weighted_Index(D5:D20,11,FALSE,FALSE)</f>
        <v>40</v>
      </c>
      <c r="F15" s="33">
        <f t="shared" si="0"/>
        <v>3.5</v>
      </c>
      <c r="G15" s="30">
        <v>-10</v>
      </c>
      <c r="H15" s="19">
        <f t="shared" si="1"/>
        <v>-46.5</v>
      </c>
      <c r="I15" s="29">
        <f t="shared" si="3"/>
        <v>2.2387211385683359E-5</v>
      </c>
      <c r="J15" s="30">
        <v>-8</v>
      </c>
      <c r="K15" s="19">
        <f t="shared" si="2"/>
        <v>-44.5</v>
      </c>
      <c r="L15" s="26">
        <f t="shared" si="4"/>
        <v>3.5481338923357479E-5</v>
      </c>
    </row>
    <row r="16" spans="1:12" x14ac:dyDescent="0.25">
      <c r="A16" s="41"/>
      <c r="C16" s="22">
        <v>1250</v>
      </c>
      <c r="D16" s="148">
        <v>37</v>
      </c>
      <c r="E16" s="19">
        <f>Weighted_Index(D5:D20,12,FALSE,FALSE)</f>
        <v>41</v>
      </c>
      <c r="F16" s="33">
        <f t="shared" si="0"/>
        <v>4</v>
      </c>
      <c r="G16" s="30">
        <v>-9</v>
      </c>
      <c r="H16" s="19">
        <f t="shared" si="1"/>
        <v>-46</v>
      </c>
      <c r="I16" s="29">
        <f t="shared" si="3"/>
        <v>2.5118864315095791E-5</v>
      </c>
      <c r="J16" s="30">
        <v>-9</v>
      </c>
      <c r="K16" s="19">
        <f t="shared" si="2"/>
        <v>-46</v>
      </c>
      <c r="L16" s="26">
        <f t="shared" si="4"/>
        <v>2.5118864315095791E-5</v>
      </c>
    </row>
    <row r="17" spans="1:12" x14ac:dyDescent="0.25">
      <c r="A17" s="41"/>
      <c r="C17" s="22">
        <v>1600</v>
      </c>
      <c r="D17" s="148">
        <v>36.5</v>
      </c>
      <c r="E17" s="19">
        <f>Weighted_Index(D5:D20,13,FALSE,FALSE)</f>
        <v>41</v>
      </c>
      <c r="F17" s="33">
        <f t="shared" si="0"/>
        <v>4.5</v>
      </c>
      <c r="G17" s="30">
        <v>-9</v>
      </c>
      <c r="H17" s="19">
        <f t="shared" si="1"/>
        <v>-45.5</v>
      </c>
      <c r="I17" s="29">
        <f t="shared" si="3"/>
        <v>2.8183829312644511E-5</v>
      </c>
      <c r="J17" s="30">
        <v>-10</v>
      </c>
      <c r="K17" s="19">
        <f t="shared" si="2"/>
        <v>-46.5</v>
      </c>
      <c r="L17" s="26">
        <f t="shared" si="4"/>
        <v>2.2387211385683359E-5</v>
      </c>
    </row>
    <row r="18" spans="1:12" x14ac:dyDescent="0.25">
      <c r="A18" s="41"/>
      <c r="C18" s="22">
        <v>2000</v>
      </c>
      <c r="D18" s="148">
        <v>37</v>
      </c>
      <c r="E18" s="19">
        <f>Weighted_Index(D5:D20,14,FALSE,FALSE)</f>
        <v>41</v>
      </c>
      <c r="F18" s="33">
        <f t="shared" si="0"/>
        <v>4</v>
      </c>
      <c r="G18" s="30">
        <v>-9</v>
      </c>
      <c r="H18" s="19">
        <f t="shared" si="1"/>
        <v>-46</v>
      </c>
      <c r="I18" s="29">
        <f t="shared" si="3"/>
        <v>2.5118864315095791E-5</v>
      </c>
      <c r="J18" s="30">
        <v>-11</v>
      </c>
      <c r="K18" s="19">
        <f t="shared" si="2"/>
        <v>-48</v>
      </c>
      <c r="L18" s="26">
        <f t="shared" si="4"/>
        <v>1.5848931924611131E-5</v>
      </c>
    </row>
    <row r="19" spans="1:12" x14ac:dyDescent="0.25">
      <c r="A19" s="41"/>
      <c r="C19" s="22">
        <v>2500</v>
      </c>
      <c r="D19" s="148">
        <v>40</v>
      </c>
      <c r="E19" s="19">
        <f>Weighted_Index(D5:D20,15,FALSE,FALSE)</f>
        <v>41</v>
      </c>
      <c r="F19" s="33">
        <f t="shared" si="0"/>
        <v>1</v>
      </c>
      <c r="G19" s="30">
        <v>-9</v>
      </c>
      <c r="H19" s="19">
        <f t="shared" si="1"/>
        <v>-49</v>
      </c>
      <c r="I19" s="29">
        <f t="shared" si="3"/>
        <v>1.2589254117941658E-5</v>
      </c>
      <c r="J19" s="30">
        <v>-13</v>
      </c>
      <c r="K19" s="19">
        <f t="shared" si="2"/>
        <v>-53</v>
      </c>
      <c r="L19" s="26">
        <f t="shared" si="4"/>
        <v>5.011872336272719E-6</v>
      </c>
    </row>
    <row r="20" spans="1:12" ht="15.75" thickBot="1" x14ac:dyDescent="0.3">
      <c r="A20" s="41"/>
      <c r="C20" s="22">
        <v>3150</v>
      </c>
      <c r="D20" s="148">
        <v>44</v>
      </c>
      <c r="E20" s="19">
        <f>Weighted_Index(D5:D20,16,FALSE,FALSE)</f>
        <v>41</v>
      </c>
      <c r="F20" s="33">
        <f t="shared" si="0"/>
        <v>0</v>
      </c>
      <c r="G20" s="30">
        <v>-9</v>
      </c>
      <c r="H20" s="19">
        <f t="shared" si="1"/>
        <v>-53</v>
      </c>
      <c r="I20" s="29">
        <f t="shared" si="3"/>
        <v>5.011872336272719E-6</v>
      </c>
      <c r="J20" s="30">
        <v>-15</v>
      </c>
      <c r="K20" s="19">
        <f t="shared" si="2"/>
        <v>-59</v>
      </c>
      <c r="L20" s="26">
        <f t="shared" si="4"/>
        <v>1.2589254117941642E-6</v>
      </c>
    </row>
    <row r="21" spans="1:12" ht="18.75" thickBot="1" x14ac:dyDescent="0.3">
      <c r="C21" s="2" t="s">
        <v>37</v>
      </c>
      <c r="D21" s="23">
        <f>Weighted_Index(D5:D20,0,FALSE,FALSE)</f>
        <v>37</v>
      </c>
      <c r="E21" s="39" t="s">
        <v>48</v>
      </c>
      <c r="F21" s="35">
        <f>SUM(F5:F20)</f>
        <v>31</v>
      </c>
      <c r="G21" s="74" t="s">
        <v>45</v>
      </c>
      <c r="H21" s="34"/>
      <c r="I21" s="36">
        <f>-10*LOG10(SUM(I5:I20))</f>
        <v>35.898649442141526</v>
      </c>
      <c r="J21" s="74" t="s">
        <v>45</v>
      </c>
      <c r="K21" s="34"/>
      <c r="L21" s="37">
        <f>-10*LOG10(SUM(L5:L20))</f>
        <v>33.880153266436793</v>
      </c>
    </row>
    <row r="22" spans="1:12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2" ht="18.75" thickBot="1" x14ac:dyDescent="0.4">
      <c r="C23" s="2" t="s">
        <v>47</v>
      </c>
      <c r="D23" s="25">
        <f>INT(L21+0.49999)-D21</f>
        <v>-3</v>
      </c>
      <c r="E23" t="s">
        <v>2</v>
      </c>
    </row>
    <row r="24" spans="1:12" x14ac:dyDescent="0.25">
      <c r="D24" s="7"/>
    </row>
  </sheetData>
  <conditionalFormatting sqref="F5:F20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V29"/>
  <sheetViews>
    <sheetView topLeftCell="A10" zoomScaleNormal="90" workbookViewId="0">
      <selection activeCell="V19" sqref="V19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11" customWidth="1"/>
    <col min="10" max="10" width="11.42578125" customWidth="1"/>
    <col min="11" max="12" width="9.42578125" customWidth="1"/>
    <col min="15" max="15" width="9.42578125" customWidth="1"/>
    <col min="20" max="20" width="9.42578125" customWidth="1"/>
  </cols>
  <sheetData>
    <row r="1" spans="1:22" x14ac:dyDescent="0.25">
      <c r="A1" s="2" t="s">
        <v>54</v>
      </c>
    </row>
    <row r="2" spans="1:22" x14ac:dyDescent="0.25">
      <c r="B2" s="62" t="s">
        <v>57</v>
      </c>
      <c r="C2" s="62" t="s">
        <v>159</v>
      </c>
      <c r="D2" s="2" t="s">
        <v>59</v>
      </c>
      <c r="E2" t="s">
        <v>61</v>
      </c>
    </row>
    <row r="3" spans="1:22" ht="17.25" x14ac:dyDescent="0.25">
      <c r="C3" s="7" t="s">
        <v>16</v>
      </c>
      <c r="D3" s="7" t="s">
        <v>60</v>
      </c>
      <c r="E3" s="7" t="s">
        <v>15</v>
      </c>
    </row>
    <row r="4" spans="1:22" ht="18" x14ac:dyDescent="0.35">
      <c r="B4" t="s">
        <v>58</v>
      </c>
      <c r="C4" s="15">
        <v>2E-3</v>
      </c>
      <c r="D4" s="63">
        <v>7500</v>
      </c>
      <c r="E4" s="15">
        <v>15</v>
      </c>
      <c r="I4" t="s">
        <v>64</v>
      </c>
      <c r="J4" s="12">
        <v>98</v>
      </c>
      <c r="K4" t="s">
        <v>65</v>
      </c>
    </row>
    <row r="5" spans="1:22" ht="18" x14ac:dyDescent="0.35">
      <c r="B5" t="s">
        <v>62</v>
      </c>
      <c r="C5" s="15">
        <v>0.05</v>
      </c>
      <c r="D5" s="63">
        <v>70</v>
      </c>
      <c r="E5" s="15">
        <v>3.5</v>
      </c>
      <c r="I5" t="s">
        <v>63</v>
      </c>
      <c r="J5" s="64">
        <v>3430</v>
      </c>
      <c r="K5" t="s">
        <v>65</v>
      </c>
    </row>
    <row r="6" spans="1:22" x14ac:dyDescent="0.25">
      <c r="B6" t="s">
        <v>58</v>
      </c>
      <c r="C6" s="15">
        <v>2E-3</v>
      </c>
      <c r="D6" s="63">
        <v>7500</v>
      </c>
      <c r="E6" s="15">
        <v>15</v>
      </c>
    </row>
    <row r="7" spans="1:22" x14ac:dyDescent="0.25">
      <c r="B7" s="108" t="s">
        <v>95</v>
      </c>
      <c r="C7" s="109">
        <f>SUM(C4:C6)</f>
        <v>5.4000000000000006E-2</v>
      </c>
      <c r="E7" s="109">
        <f>SUM(E4:E6)</f>
        <v>33.5</v>
      </c>
    </row>
    <row r="8" spans="1:22" ht="18" x14ac:dyDescent="0.25">
      <c r="S8" s="7" t="s">
        <v>71</v>
      </c>
      <c r="T8" s="7" t="s">
        <v>72</v>
      </c>
      <c r="U8" s="7" t="s">
        <v>73</v>
      </c>
      <c r="V8" s="7" t="s">
        <v>74</v>
      </c>
    </row>
    <row r="9" spans="1:22" ht="45" x14ac:dyDescent="0.25">
      <c r="C9" s="65" t="s">
        <v>38</v>
      </c>
      <c r="D9" s="16" t="s">
        <v>36</v>
      </c>
      <c r="E9" s="16" t="s">
        <v>34</v>
      </c>
      <c r="F9" s="31" t="s">
        <v>35</v>
      </c>
      <c r="G9" s="30" t="s">
        <v>39</v>
      </c>
      <c r="H9" s="15" t="s">
        <v>41</v>
      </c>
      <c r="I9" s="28" t="s">
        <v>43</v>
      </c>
      <c r="J9" s="30" t="s">
        <v>40</v>
      </c>
      <c r="K9" s="15" t="s">
        <v>42</v>
      </c>
      <c r="L9" s="27" t="s">
        <v>44</v>
      </c>
      <c r="O9" s="27" t="s">
        <v>66</v>
      </c>
      <c r="P9" s="27" t="s">
        <v>67</v>
      </c>
      <c r="Q9" s="27" t="s">
        <v>68</v>
      </c>
      <c r="R9" s="27" t="s">
        <v>69</v>
      </c>
      <c r="S9" s="27" t="s">
        <v>70</v>
      </c>
      <c r="T9" s="27" t="s">
        <v>70</v>
      </c>
      <c r="U9" s="27" t="s">
        <v>70</v>
      </c>
      <c r="V9" s="27" t="s">
        <v>70</v>
      </c>
    </row>
    <row r="10" spans="1:22" x14ac:dyDescent="0.25">
      <c r="A10" s="41"/>
      <c r="C10" s="17">
        <v>100</v>
      </c>
      <c r="D10" s="1">
        <v>13.335085325698742</v>
      </c>
      <c r="E10" s="18">
        <f>Weighted_Index(D10:D25,1,FALSE,FALSE)</f>
        <v>24</v>
      </c>
      <c r="F10" s="32">
        <f t="shared" ref="F10:F25" si="0">MAX(0,E10-D10)</f>
        <v>10.664914674301258</v>
      </c>
      <c r="G10" s="30">
        <v>-29</v>
      </c>
      <c r="H10" s="19">
        <f t="shared" ref="H10:H25" si="1">G10-D10</f>
        <v>-42.335085325698742</v>
      </c>
      <c r="I10" s="29">
        <f>10^(H10/10)</f>
        <v>5.841057310733739E-5</v>
      </c>
      <c r="J10" s="30">
        <v>-20</v>
      </c>
      <c r="K10" s="19">
        <f t="shared" ref="K10:K25" si="2">J10-D10</f>
        <v>-33.335085325698742</v>
      </c>
      <c r="L10" s="26">
        <f>10^(K10/10)</f>
        <v>4.6397167425584872E-4</v>
      </c>
      <c r="O10" s="19">
        <f>20*LOG10(15*C10) - 42.5</f>
        <v>21.021825181113627</v>
      </c>
      <c r="P10" s="19">
        <v>14.177842619489184</v>
      </c>
      <c r="Q10" s="19">
        <v>21.021825181113627</v>
      </c>
      <c r="R10" s="19">
        <v>14.177842619489184</v>
      </c>
      <c r="S10" s="19"/>
      <c r="T10" s="15"/>
      <c r="U10" s="147">
        <v>13.335085325698742</v>
      </c>
      <c r="V10" s="19"/>
    </row>
    <row r="11" spans="1:22" x14ac:dyDescent="0.25">
      <c r="A11" s="41"/>
      <c r="C11" s="17">
        <v>125</v>
      </c>
      <c r="D11" s="1">
        <v>18.563708284224454</v>
      </c>
      <c r="E11" s="19">
        <f>Weighted_Index(D10:D25,2,FALSE,FALSE)</f>
        <v>27</v>
      </c>
      <c r="F11" s="33">
        <f t="shared" si="0"/>
        <v>8.4362917157755462</v>
      </c>
      <c r="G11" s="30">
        <v>-26</v>
      </c>
      <c r="H11" s="19">
        <f t="shared" si="1"/>
        <v>-44.563708284224454</v>
      </c>
      <c r="I11" s="29">
        <f t="shared" ref="I11:I25" si="3">10^(H11/10)</f>
        <v>3.4964648898246611E-5</v>
      </c>
      <c r="J11" s="30">
        <v>-20</v>
      </c>
      <c r="K11" s="19">
        <f t="shared" si="2"/>
        <v>-38.563708284224454</v>
      </c>
      <c r="L11" s="26">
        <f t="shared" ref="L11:L25" si="4">10^(K11/10)</f>
        <v>1.3919677442277408E-4</v>
      </c>
      <c r="O11" s="19">
        <f t="shared" ref="O11:O25" si="5">20*LOG10(15*C11) - 42.5</f>
        <v>22.960025441274752</v>
      </c>
      <c r="P11" s="19">
        <v>15.788720779872101</v>
      </c>
      <c r="Q11" s="19">
        <v>22.960025441274752</v>
      </c>
      <c r="R11" s="19">
        <v>15.788720779872101</v>
      </c>
      <c r="S11" s="19"/>
      <c r="T11" s="15"/>
      <c r="U11" s="147">
        <v>18.563708284224454</v>
      </c>
      <c r="V11" s="19"/>
    </row>
    <row r="12" spans="1:22" x14ac:dyDescent="0.25">
      <c r="A12" s="41"/>
      <c r="C12" s="17">
        <v>160</v>
      </c>
      <c r="D12" s="1">
        <v>23.858547886169106</v>
      </c>
      <c r="E12" s="19">
        <f>Weighted_Index(D10:D25,3,FALSE,FALSE)</f>
        <v>30</v>
      </c>
      <c r="F12" s="33">
        <f t="shared" si="0"/>
        <v>6.1414521138308942</v>
      </c>
      <c r="G12" s="30">
        <v>-23</v>
      </c>
      <c r="H12" s="19">
        <f t="shared" si="1"/>
        <v>-46.858547886169106</v>
      </c>
      <c r="I12" s="29">
        <f t="shared" si="3"/>
        <v>2.0613190239144551E-5</v>
      </c>
      <c r="J12" s="30">
        <v>-18</v>
      </c>
      <c r="K12" s="19">
        <f t="shared" si="2"/>
        <v>-41.858547886169106</v>
      </c>
      <c r="L12" s="26">
        <f t="shared" si="4"/>
        <v>6.5184630998047736E-5</v>
      </c>
      <c r="O12" s="19">
        <f t="shared" si="5"/>
        <v>25.104224834232113</v>
      </c>
      <c r="P12" s="19">
        <v>17.432707261964488</v>
      </c>
      <c r="Q12" s="19">
        <v>25.104224834232113</v>
      </c>
      <c r="R12" s="19">
        <v>17.432707261964488</v>
      </c>
      <c r="S12" s="19"/>
      <c r="T12" s="15"/>
      <c r="U12" s="147">
        <v>23.858547886169106</v>
      </c>
      <c r="V12" s="19"/>
    </row>
    <row r="13" spans="1:22" x14ac:dyDescent="0.25">
      <c r="A13" s="41"/>
      <c r="C13" s="17">
        <v>200</v>
      </c>
      <c r="D13" s="1">
        <v>29.209380760108267</v>
      </c>
      <c r="E13" s="19">
        <f>Weighted_Index(D10:D25,4,FALSE,FALSE)</f>
        <v>33</v>
      </c>
      <c r="F13" s="33">
        <f t="shared" si="0"/>
        <v>3.7906192398917327</v>
      </c>
      <c r="G13" s="30">
        <v>-21</v>
      </c>
      <c r="H13" s="19">
        <f t="shared" si="1"/>
        <v>-50.209380760108267</v>
      </c>
      <c r="I13" s="29">
        <f t="shared" si="3"/>
        <v>9.5293202839295691E-6</v>
      </c>
      <c r="J13" s="30">
        <v>-16</v>
      </c>
      <c r="K13" s="19">
        <f t="shared" si="2"/>
        <v>-45.209380760108267</v>
      </c>
      <c r="L13" s="26">
        <f t="shared" si="4"/>
        <v>3.0134356650459894E-5</v>
      </c>
      <c r="O13" s="19">
        <f t="shared" si="5"/>
        <v>27.042425094393252</v>
      </c>
      <c r="P13" s="19">
        <v>19.104690380054134</v>
      </c>
      <c r="Q13" s="19">
        <v>27.042425094393252</v>
      </c>
      <c r="R13" s="19">
        <v>19.104690380054134</v>
      </c>
      <c r="S13" s="19"/>
      <c r="T13" s="15"/>
      <c r="U13" s="147">
        <v>29.209380760108267</v>
      </c>
      <c r="V13" s="19"/>
    </row>
    <row r="14" spans="1:22" x14ac:dyDescent="0.25">
      <c r="A14" s="41"/>
      <c r="C14" s="17">
        <v>250</v>
      </c>
      <c r="D14" s="1">
        <v>34.608182420383429</v>
      </c>
      <c r="E14" s="19">
        <f>Weighted_Index(D10:D25,5,FALSE,FALSE)</f>
        <v>36</v>
      </c>
      <c r="F14" s="32">
        <f t="shared" si="0"/>
        <v>1.3918175796165713</v>
      </c>
      <c r="G14" s="30">
        <v>-19</v>
      </c>
      <c r="H14" s="19">
        <f t="shared" si="1"/>
        <v>-53.608182420383429</v>
      </c>
      <c r="I14" s="29">
        <f t="shared" si="3"/>
        <v>4.3569417928770939E-6</v>
      </c>
      <c r="J14" s="30">
        <v>-15</v>
      </c>
      <c r="K14" s="19">
        <f t="shared" si="2"/>
        <v>-49.608182420383429</v>
      </c>
      <c r="L14" s="26">
        <f t="shared" si="4"/>
        <v>1.0944142972405013E-5</v>
      </c>
      <c r="O14" s="19">
        <f t="shared" si="5"/>
        <v>28.980625354554377</v>
      </c>
      <c r="P14" s="19">
        <v>20.800657891311779</v>
      </c>
      <c r="Q14" s="19">
        <v>28.980625354554377</v>
      </c>
      <c r="R14" s="19">
        <v>20.800657891311779</v>
      </c>
      <c r="S14" s="19"/>
      <c r="T14" s="15"/>
      <c r="U14" s="147">
        <v>34.608182420383429</v>
      </c>
      <c r="V14" s="19"/>
    </row>
    <row r="15" spans="1:22" x14ac:dyDescent="0.25">
      <c r="A15" s="41"/>
      <c r="C15" s="17">
        <v>315</v>
      </c>
      <c r="D15" s="1">
        <v>40.048538640571323</v>
      </c>
      <c r="E15" s="19">
        <f>Weighted_Index(D10:D25,6,FALSE,FALSE)</f>
        <v>39</v>
      </c>
      <c r="F15" s="33">
        <f t="shared" si="0"/>
        <v>0</v>
      </c>
      <c r="G15" s="30">
        <v>-17</v>
      </c>
      <c r="H15" s="19">
        <f t="shared" si="1"/>
        <v>-57.048538640571323</v>
      </c>
      <c r="I15" s="29">
        <f t="shared" si="3"/>
        <v>1.9730865491934052E-6</v>
      </c>
      <c r="J15" s="30">
        <v>-14</v>
      </c>
      <c r="K15" s="19">
        <f t="shared" si="2"/>
        <v>-54.048538640571323</v>
      </c>
      <c r="L15" s="26">
        <f t="shared" si="4"/>
        <v>3.9368252357775876E-6</v>
      </c>
      <c r="O15" s="19">
        <f t="shared" si="5"/>
        <v>30.98803625690563</v>
      </c>
      <c r="P15" s="19">
        <v>22.517402682525788</v>
      </c>
      <c r="Q15" s="19">
        <v>30.98803625690563</v>
      </c>
      <c r="R15" s="19">
        <v>22.517402682525788</v>
      </c>
      <c r="S15" s="19"/>
      <c r="T15" s="15"/>
      <c r="U15" s="147">
        <v>40.048538640571323</v>
      </c>
      <c r="V15" s="19"/>
    </row>
    <row r="16" spans="1:22" x14ac:dyDescent="0.25">
      <c r="A16" s="41"/>
      <c r="C16" s="17">
        <v>400</v>
      </c>
      <c r="D16" s="1">
        <v>45.525241496378257</v>
      </c>
      <c r="E16" s="19">
        <f>Weighted_Index(D10:D25,7,FALSE,FALSE)</f>
        <v>42</v>
      </c>
      <c r="F16" s="33">
        <f t="shared" si="0"/>
        <v>0</v>
      </c>
      <c r="G16" s="30">
        <v>-15</v>
      </c>
      <c r="H16" s="19">
        <f t="shared" si="1"/>
        <v>-60.525241496378257</v>
      </c>
      <c r="I16" s="29">
        <f t="shared" si="3"/>
        <v>8.86085950066045E-7</v>
      </c>
      <c r="J16" s="30">
        <v>-13</v>
      </c>
      <c r="K16" s="19">
        <f t="shared" si="2"/>
        <v>-58.525241496378257</v>
      </c>
      <c r="L16" s="26">
        <f t="shared" si="4"/>
        <v>1.4043515901951128E-6</v>
      </c>
      <c r="O16" s="19">
        <f t="shared" si="5"/>
        <v>33.063025007672863</v>
      </c>
      <c r="P16" s="19">
        <v>24.252320791549316</v>
      </c>
      <c r="Q16" s="19">
        <v>33.063025007672863</v>
      </c>
      <c r="R16" s="19">
        <v>24.252320791549316</v>
      </c>
      <c r="S16" s="19"/>
      <c r="T16" s="15"/>
      <c r="U16" s="147">
        <v>45.525241496378257</v>
      </c>
      <c r="V16" s="19"/>
    </row>
    <row r="17" spans="1:22" x14ac:dyDescent="0.25">
      <c r="A17" s="45"/>
      <c r="C17" s="20">
        <v>500</v>
      </c>
      <c r="D17" s="1">
        <v>51.034004640457653</v>
      </c>
      <c r="E17" s="21">
        <f>Weighted_Index(D10:D25,8,FALSE,FALSE)</f>
        <v>43</v>
      </c>
      <c r="F17" s="33">
        <f t="shared" si="0"/>
        <v>0</v>
      </c>
      <c r="G17" s="30">
        <v>-13</v>
      </c>
      <c r="H17" s="19">
        <f t="shared" si="1"/>
        <v>-64.034004640457653</v>
      </c>
      <c r="I17" s="29">
        <f t="shared" si="3"/>
        <v>3.9500221953586643E-7</v>
      </c>
      <c r="J17" s="30">
        <v>-12</v>
      </c>
      <c r="K17" s="19">
        <f t="shared" si="2"/>
        <v>-63.034004640457653</v>
      </c>
      <c r="L17" s="26">
        <f t="shared" si="4"/>
        <v>4.9727833188880009E-7</v>
      </c>
      <c r="O17" s="19">
        <f t="shared" si="5"/>
        <v>35.001225267834002</v>
      </c>
      <c r="P17" s="19">
        <v>26.003269044709072</v>
      </c>
      <c r="Q17" s="19">
        <v>35.001225267834002</v>
      </c>
      <c r="R17" s="19">
        <v>26.003269044709072</v>
      </c>
      <c r="S17" s="19"/>
      <c r="T17" s="15"/>
      <c r="U17" s="147">
        <v>51.034004640457653</v>
      </c>
      <c r="V17" s="19"/>
    </row>
    <row r="18" spans="1:22" x14ac:dyDescent="0.25">
      <c r="A18" s="41"/>
      <c r="C18" s="17">
        <v>630</v>
      </c>
      <c r="D18" s="1">
        <v>56.571257921967145</v>
      </c>
      <c r="E18" s="19">
        <f>Weighted_Index(D10:D25,9,FALSE,FALSE)</f>
        <v>44</v>
      </c>
      <c r="F18" s="33">
        <f t="shared" si="0"/>
        <v>0</v>
      </c>
      <c r="G18" s="30">
        <v>-12</v>
      </c>
      <c r="H18" s="19">
        <f t="shared" si="1"/>
        <v>-68.571257921967145</v>
      </c>
      <c r="I18" s="29">
        <f t="shared" si="3"/>
        <v>1.3895500935739747E-7</v>
      </c>
      <c r="J18" s="30">
        <v>-11</v>
      </c>
      <c r="K18" s="19">
        <f t="shared" si="2"/>
        <v>-67.571257921967145</v>
      </c>
      <c r="L18" s="26">
        <f t="shared" si="4"/>
        <v>1.7493399237612381E-7</v>
      </c>
      <c r="O18" s="19">
        <f t="shared" si="5"/>
        <v>37.008636170185255</v>
      </c>
      <c r="P18" s="19">
        <v>27.768462366583883</v>
      </c>
      <c r="Q18" s="19">
        <v>37.008636170185255</v>
      </c>
      <c r="R18" s="19">
        <v>27.768462366583883</v>
      </c>
      <c r="S18" s="19"/>
      <c r="T18" s="15"/>
      <c r="U18" s="147">
        <v>56.571257921967145</v>
      </c>
      <c r="V18" s="19"/>
    </row>
    <row r="19" spans="1:22" x14ac:dyDescent="0.25">
      <c r="A19" s="41"/>
      <c r="C19" s="17">
        <v>800</v>
      </c>
      <c r="D19" s="1">
        <v>62.133996212500563</v>
      </c>
      <c r="E19" s="19">
        <f>Weighted_Index(D10:D25,10,FALSE,FALSE)</f>
        <v>45</v>
      </c>
      <c r="F19" s="33">
        <f t="shared" si="0"/>
        <v>0</v>
      </c>
      <c r="G19" s="30">
        <v>-11</v>
      </c>
      <c r="H19" s="19">
        <f t="shared" si="1"/>
        <v>-73.133996212500563</v>
      </c>
      <c r="I19" s="29">
        <f t="shared" si="3"/>
        <v>4.8595983815359201E-8</v>
      </c>
      <c r="J19" s="30">
        <v>-9</v>
      </c>
      <c r="K19" s="19">
        <f t="shared" si="2"/>
        <v>-71.133996212500563</v>
      </c>
      <c r="L19" s="26">
        <f t="shared" si="4"/>
        <v>7.7019443929913363E-8</v>
      </c>
      <c r="O19" s="19">
        <f t="shared" si="5"/>
        <v>39.083624920952502</v>
      </c>
      <c r="P19" s="19">
        <v>29.546398192970663</v>
      </c>
      <c r="Q19" s="19">
        <v>39.083624920952502</v>
      </c>
      <c r="R19" s="19">
        <v>29.546398192970663</v>
      </c>
      <c r="S19" s="19"/>
      <c r="T19" s="15"/>
      <c r="U19" s="147">
        <v>62.133996212500563</v>
      </c>
      <c r="V19" s="19"/>
    </row>
    <row r="20" spans="1:22" x14ac:dyDescent="0.25">
      <c r="A20" s="41"/>
      <c r="C20" s="22">
        <v>1000</v>
      </c>
      <c r="D20" s="1">
        <v>67.719666127680767</v>
      </c>
      <c r="E20" s="19">
        <f>Weighted_Index(D10:D25,11,FALSE,FALSE)</f>
        <v>46</v>
      </c>
      <c r="F20" s="33">
        <f t="shared" si="0"/>
        <v>0</v>
      </c>
      <c r="G20" s="30">
        <v>-10</v>
      </c>
      <c r="H20" s="19">
        <f t="shared" si="1"/>
        <v>-77.719666127680767</v>
      </c>
      <c r="I20" s="29">
        <f t="shared" si="3"/>
        <v>1.6905708925690355E-8</v>
      </c>
      <c r="J20" s="30">
        <v>-8</v>
      </c>
      <c r="K20" s="19">
        <f t="shared" si="2"/>
        <v>-75.719666127680767</v>
      </c>
      <c r="L20" s="26">
        <f t="shared" si="4"/>
        <v>2.6793742990055773E-8</v>
      </c>
      <c r="O20" s="19">
        <f t="shared" si="5"/>
        <v>41.021825181113627</v>
      </c>
      <c r="P20" s="19">
        <v>31.335799831680824</v>
      </c>
      <c r="Q20" s="19">
        <v>41.021825181113627</v>
      </c>
      <c r="R20" s="19">
        <v>31.335799831680824</v>
      </c>
      <c r="S20" s="19"/>
      <c r="T20" s="15"/>
      <c r="U20" s="147">
        <v>67.719666127680767</v>
      </c>
      <c r="V20" s="19"/>
    </row>
    <row r="21" spans="1:22" x14ac:dyDescent="0.25">
      <c r="A21" s="41"/>
      <c r="C21" s="22">
        <v>1250</v>
      </c>
      <c r="D21" s="1">
        <v>73.326079787168439</v>
      </c>
      <c r="E21" s="19">
        <f>Weighted_Index(D10:D25,12,FALSE,FALSE)</f>
        <v>47</v>
      </c>
      <c r="F21" s="33">
        <f t="shared" si="0"/>
        <v>0</v>
      </c>
      <c r="G21" s="30">
        <v>-9</v>
      </c>
      <c r="H21" s="19">
        <f t="shared" si="1"/>
        <v>-82.326079787168439</v>
      </c>
      <c r="I21" s="29">
        <f t="shared" si="3"/>
        <v>5.8531819045852297E-9</v>
      </c>
      <c r="J21" s="30">
        <v>-9</v>
      </c>
      <c r="K21" s="19">
        <f t="shared" si="2"/>
        <v>-82.326079787168439</v>
      </c>
      <c r="L21" s="26">
        <f t="shared" si="4"/>
        <v>5.8531819045852297E-9</v>
      </c>
      <c r="O21" s="19">
        <f t="shared" si="5"/>
        <v>42.960025441274752</v>
      </c>
      <c r="P21" s="19">
        <v>33.135573342544724</v>
      </c>
      <c r="Q21" s="19">
        <v>42.960025441274752</v>
      </c>
      <c r="R21" s="19">
        <v>33.135573342544724</v>
      </c>
      <c r="S21" s="19"/>
      <c r="T21" s="15"/>
      <c r="U21" s="147">
        <v>73.326079787168439</v>
      </c>
      <c r="V21" s="19"/>
    </row>
    <row r="22" spans="1:22" x14ac:dyDescent="0.25">
      <c r="A22" s="41"/>
      <c r="C22" s="22">
        <v>1600</v>
      </c>
      <c r="D22" s="1">
        <v>78.951348220121986</v>
      </c>
      <c r="E22" s="19">
        <f>Weighted_Index(D10:D25,13,FALSE,FALSE)</f>
        <v>47</v>
      </c>
      <c r="F22" s="33">
        <f t="shared" si="0"/>
        <v>0</v>
      </c>
      <c r="G22" s="30">
        <v>-9</v>
      </c>
      <c r="H22" s="19">
        <f t="shared" si="1"/>
        <v>-87.951348220121986</v>
      </c>
      <c r="I22" s="29">
        <f t="shared" si="3"/>
        <v>1.6027477577912675E-9</v>
      </c>
      <c r="J22" s="30">
        <v>-10</v>
      </c>
      <c r="K22" s="19">
        <f t="shared" si="2"/>
        <v>-88.951348220121986</v>
      </c>
      <c r="L22" s="26">
        <f t="shared" si="4"/>
        <v>1.2731077971546346E-9</v>
      </c>
      <c r="O22" s="19">
        <f t="shared" si="5"/>
        <v>45.104224834232127</v>
      </c>
      <c r="P22" s="19">
        <v>34.944774240141562</v>
      </c>
      <c r="Q22" s="19">
        <v>45.104224834232127</v>
      </c>
      <c r="R22" s="19">
        <v>34.944774240141562</v>
      </c>
      <c r="S22" s="19"/>
      <c r="T22" s="15"/>
      <c r="U22" s="147">
        <v>78.951348220121986</v>
      </c>
      <c r="V22" s="19"/>
    </row>
    <row r="23" spans="1:22" x14ac:dyDescent="0.25">
      <c r="A23" s="41"/>
      <c r="C23" s="22">
        <v>2000</v>
      </c>
      <c r="D23" s="1">
        <v>84.593829279033713</v>
      </c>
      <c r="E23" s="19">
        <f>Weighted_Index(D10:D25,14,FALSE,FALSE)</f>
        <v>47</v>
      </c>
      <c r="F23" s="33">
        <f t="shared" si="0"/>
        <v>0</v>
      </c>
      <c r="G23" s="30">
        <v>-9</v>
      </c>
      <c r="H23" s="19">
        <f t="shared" si="1"/>
        <v>-93.593829279033713</v>
      </c>
      <c r="I23" s="29">
        <f t="shared" si="3"/>
        <v>4.371365014047672E-10</v>
      </c>
      <c r="J23" s="30">
        <v>-11</v>
      </c>
      <c r="K23" s="19">
        <f t="shared" si="2"/>
        <v>-95.593829279033713</v>
      </c>
      <c r="L23" s="26">
        <f t="shared" si="4"/>
        <v>2.758144861017147E-10</v>
      </c>
      <c r="O23" s="19">
        <f t="shared" si="5"/>
        <v>47.042425094393252</v>
      </c>
      <c r="P23" s="19">
        <v>36.762581450717484</v>
      </c>
      <c r="Q23" s="19">
        <v>47.042425094393252</v>
      </c>
      <c r="R23" s="19">
        <v>36.762581450717484</v>
      </c>
      <c r="S23" s="19"/>
      <c r="T23" s="15"/>
      <c r="U23" s="147">
        <v>84.593829279033713</v>
      </c>
      <c r="V23" s="19"/>
    </row>
    <row r="24" spans="1:22" x14ac:dyDescent="0.25">
      <c r="A24" s="41"/>
      <c r="C24" s="22">
        <v>2500</v>
      </c>
      <c r="D24" s="1">
        <v>90.252086426807324</v>
      </c>
      <c r="E24" s="19">
        <f>Weighted_Index(D10:D25,15,FALSE,FALSE)</f>
        <v>47</v>
      </c>
      <c r="F24" s="33">
        <f t="shared" si="0"/>
        <v>0</v>
      </c>
      <c r="G24" s="30">
        <v>-9</v>
      </c>
      <c r="H24" s="19">
        <f t="shared" si="1"/>
        <v>-99.252086426807324</v>
      </c>
      <c r="I24" s="29">
        <f t="shared" si="3"/>
        <v>1.1879313872685591E-10</v>
      </c>
      <c r="J24" s="30">
        <v>-13</v>
      </c>
      <c r="K24" s="19">
        <f t="shared" si="2"/>
        <v>-103.25208642680732</v>
      </c>
      <c r="L24" s="26">
        <f t="shared" si="4"/>
        <v>4.729240033971787E-11</v>
      </c>
      <c r="O24" s="19">
        <f t="shared" si="5"/>
        <v>48.980625354554377</v>
      </c>
      <c r="P24" s="19">
        <v>38.588276705724354</v>
      </c>
      <c r="Q24" s="19">
        <v>48.980625354554377</v>
      </c>
      <c r="R24" s="19">
        <v>38.588276705724354</v>
      </c>
      <c r="S24" s="19"/>
      <c r="T24" s="15"/>
      <c r="U24" s="147">
        <v>90.252086426807324</v>
      </c>
      <c r="V24" s="19"/>
    </row>
    <row r="25" spans="1:22" ht="15.75" thickBot="1" x14ac:dyDescent="0.3">
      <c r="A25" s="41"/>
      <c r="C25" s="22">
        <v>3150</v>
      </c>
      <c r="D25" s="1">
        <v>95.924855782081323</v>
      </c>
      <c r="E25" s="19">
        <f>Weighted_Index(D10:D25,16,FALSE,FALSE)</f>
        <v>47</v>
      </c>
      <c r="F25" s="33">
        <f t="shared" si="0"/>
        <v>0</v>
      </c>
      <c r="G25" s="30">
        <v>-9</v>
      </c>
      <c r="H25" s="19">
        <f t="shared" si="1"/>
        <v>-104.92485578208132</v>
      </c>
      <c r="I25" s="29">
        <f t="shared" si="3"/>
        <v>3.21746937472367E-11</v>
      </c>
      <c r="J25" s="30">
        <v>-15</v>
      </c>
      <c r="K25" s="19">
        <f t="shared" si="2"/>
        <v>-110.92485578208132</v>
      </c>
      <c r="L25" s="26">
        <f t="shared" si="4"/>
        <v>8.081917666166017E-12</v>
      </c>
      <c r="O25" s="19">
        <f t="shared" si="5"/>
        <v>50.98803625690563</v>
      </c>
      <c r="P25" s="19">
        <v>40.421228064481411</v>
      </c>
      <c r="Q25" s="19">
        <v>50.98803625690563</v>
      </c>
      <c r="R25" s="19">
        <v>40.421228064481411</v>
      </c>
      <c r="S25" s="19"/>
      <c r="T25" s="15"/>
      <c r="U25" s="147">
        <v>95.924855782081323</v>
      </c>
      <c r="V25" s="19"/>
    </row>
    <row r="26" spans="1:22" ht="18.75" thickBot="1" x14ac:dyDescent="0.3">
      <c r="C26" s="2" t="s">
        <v>37</v>
      </c>
      <c r="D26" s="23">
        <f>Weighted_Index(D10:D25,0,FALSE,FALSE)</f>
        <v>43</v>
      </c>
      <c r="E26" s="39" t="s">
        <v>48</v>
      </c>
      <c r="F26" s="35">
        <f>SUM(F10:F25)</f>
        <v>30.425095323416002</v>
      </c>
      <c r="G26" s="74" t="s">
        <v>45</v>
      </c>
      <c r="H26" s="34"/>
      <c r="I26" s="36">
        <f>-10*LOG10(SUM(I10:I25))</f>
        <v>38.815985248426905</v>
      </c>
      <c r="J26" s="74" t="s">
        <v>45</v>
      </c>
      <c r="K26" s="34"/>
      <c r="L26" s="37">
        <f>-10*LOG10(SUM(L10:L25))</f>
        <v>31.453562272046135</v>
      </c>
    </row>
    <row r="27" spans="1:22" ht="15.75" thickBot="1" x14ac:dyDescent="0.3">
      <c r="C27" s="2" t="s">
        <v>46</v>
      </c>
      <c r="D27" s="38">
        <f>INT(I26+0.49999)-D26</f>
        <v>-4</v>
      </c>
      <c r="E27" t="s">
        <v>2</v>
      </c>
    </row>
    <row r="28" spans="1:22" ht="18.75" thickBot="1" x14ac:dyDescent="0.4">
      <c r="C28" s="2" t="s">
        <v>47</v>
      </c>
      <c r="D28" s="25">
        <f>INT(L26+0.49999)-D26</f>
        <v>-12</v>
      </c>
      <c r="E28" t="s">
        <v>2</v>
      </c>
    </row>
    <row r="29" spans="1:22" x14ac:dyDescent="0.25">
      <c r="D29" s="7"/>
    </row>
  </sheetData>
  <conditionalFormatting sqref="F10:F25">
    <cfRule type="cellIs" dxfId="3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8193" r:id="rId4">
          <objectPr defaultSize="0" autoPict="0" r:id="rId5">
            <anchor moveWithCells="1" sizeWithCells="1">
              <from>
                <xdr:col>18</xdr:col>
                <xdr:colOff>161925</xdr:colOff>
                <xdr:row>0</xdr:row>
                <xdr:rowOff>104775</xdr:rowOff>
              </from>
              <to>
                <xdr:col>22</xdr:col>
                <xdr:colOff>561975</xdr:colOff>
                <xdr:row>2</xdr:row>
                <xdr:rowOff>180975</xdr:rowOff>
              </to>
            </anchor>
          </objectPr>
        </oleObject>
      </mc:Choice>
      <mc:Fallback>
        <oleObject progId="Equation.3" shapeId="8193" r:id="rId4"/>
      </mc:Fallback>
    </mc:AlternateContent>
    <mc:AlternateContent xmlns:mc="http://schemas.openxmlformats.org/markup-compatibility/2006">
      <mc:Choice Requires="x14">
        <oleObject progId="Equation.3" shapeId="8195" r:id="rId6">
          <objectPr defaultSize="0" autoPict="0" r:id="rId7">
            <anchor moveWithCells="1" sizeWithCells="1">
              <from>
                <xdr:col>18</xdr:col>
                <xdr:colOff>161925</xdr:colOff>
                <xdr:row>4</xdr:row>
                <xdr:rowOff>19050</xdr:rowOff>
              </from>
              <to>
                <xdr:col>23</xdr:col>
                <xdr:colOff>228600</xdr:colOff>
                <xdr:row>5</xdr:row>
                <xdr:rowOff>28575</xdr:rowOff>
              </to>
            </anchor>
          </objectPr>
        </oleObject>
      </mc:Choice>
      <mc:Fallback>
        <oleObject progId="Equation.3" shapeId="8195" r:id="rId6"/>
      </mc:Fallback>
    </mc:AlternateContent>
    <mc:AlternateContent xmlns:mc="http://schemas.openxmlformats.org/markup-compatibility/2006">
      <mc:Choice Requires="x14">
        <oleObject progId="Equation.3" shapeId="8196" r:id="rId8">
          <objectPr defaultSize="0" autoPict="0" r:id="rId9">
            <anchor moveWithCells="1" sizeWithCells="1">
              <from>
                <xdr:col>18</xdr:col>
                <xdr:colOff>180975</xdr:colOff>
                <xdr:row>5</xdr:row>
                <xdr:rowOff>104775</xdr:rowOff>
              </from>
              <to>
                <xdr:col>21</xdr:col>
                <xdr:colOff>28575</xdr:colOff>
                <xdr:row>6</xdr:row>
                <xdr:rowOff>152400</xdr:rowOff>
              </to>
            </anchor>
          </objectPr>
        </oleObject>
      </mc:Choice>
      <mc:Fallback>
        <oleObject progId="Equation.3" shapeId="8196" r:id="rId8"/>
      </mc:Fallback>
    </mc:AlternateContent>
    <mc:AlternateContent xmlns:mc="http://schemas.openxmlformats.org/markup-compatibility/2006">
      <mc:Choice Requires="x14">
        <oleObject progId="Equation.3" shapeId="8197" r:id="rId10">
          <objectPr defaultSize="0" autoPict="0" r:id="rId11">
            <anchor moveWithCells="1" sizeWithCells="1">
              <from>
                <xdr:col>23</xdr:col>
                <xdr:colOff>390525</xdr:colOff>
                <xdr:row>0</xdr:row>
                <xdr:rowOff>180975</xdr:rowOff>
              </from>
              <to>
                <xdr:col>25</xdr:col>
                <xdr:colOff>447675</xdr:colOff>
                <xdr:row>3</xdr:row>
                <xdr:rowOff>66675</xdr:rowOff>
              </to>
            </anchor>
          </objectPr>
        </oleObject>
      </mc:Choice>
      <mc:Fallback>
        <oleObject progId="Equation.3" shapeId="8197" r:id="rId10"/>
      </mc:Fallback>
    </mc:AlternateContent>
    <mc:AlternateContent xmlns:mc="http://schemas.openxmlformats.org/markup-compatibility/2006">
      <mc:Choice Requires="x14">
        <oleObject progId="Equation.3" shapeId="8198" r:id="rId12">
          <objectPr defaultSize="0" autoPict="0" r:id="rId13">
            <anchor moveWithCells="1" sizeWithCells="1">
              <from>
                <xdr:col>23</xdr:col>
                <xdr:colOff>447675</xdr:colOff>
                <xdr:row>3</xdr:row>
                <xdr:rowOff>161925</xdr:rowOff>
              </from>
              <to>
                <xdr:col>25</xdr:col>
                <xdr:colOff>190500</xdr:colOff>
                <xdr:row>5</xdr:row>
                <xdr:rowOff>142875</xdr:rowOff>
              </to>
            </anchor>
          </objectPr>
        </oleObject>
      </mc:Choice>
      <mc:Fallback>
        <oleObject progId="Equation.3" shapeId="8198" r:id="rId12"/>
      </mc:Fallback>
    </mc:AlternateContent>
    <mc:AlternateContent xmlns:mc="http://schemas.openxmlformats.org/markup-compatibility/2006">
      <mc:Choice Requires="x14">
        <oleObject progId="Equation.3" shapeId="8199" r:id="rId14">
          <objectPr defaultSize="0" autoPict="0" r:id="rId15">
            <anchor moveWithCells="1" sizeWithCells="1">
              <from>
                <xdr:col>14</xdr:col>
                <xdr:colOff>0</xdr:colOff>
                <xdr:row>4</xdr:row>
                <xdr:rowOff>9525</xdr:rowOff>
              </from>
              <to>
                <xdr:col>17</xdr:col>
                <xdr:colOff>561975</xdr:colOff>
                <xdr:row>5</xdr:row>
                <xdr:rowOff>28575</xdr:rowOff>
              </to>
            </anchor>
          </objectPr>
        </oleObject>
      </mc:Choice>
      <mc:Fallback>
        <oleObject progId="Equation.3" shapeId="8199" r:id="rId14"/>
      </mc:Fallback>
    </mc:AlternateContent>
    <mc:AlternateContent xmlns:mc="http://schemas.openxmlformats.org/markup-compatibility/2006">
      <mc:Choice Requires="x14">
        <oleObject progId="Equation.3" shapeId="8200" r:id="rId16">
          <objectPr defaultSize="0" autoPict="0" r:id="rId17">
            <anchor moveWithCells="1" sizeWithCells="1">
              <from>
                <xdr:col>13</xdr:col>
                <xdr:colOff>571500</xdr:colOff>
                <xdr:row>5</xdr:row>
                <xdr:rowOff>142875</xdr:rowOff>
              </from>
              <to>
                <xdr:col>17</xdr:col>
                <xdr:colOff>295275</xdr:colOff>
                <xdr:row>7</xdr:row>
                <xdr:rowOff>0</xdr:rowOff>
              </to>
            </anchor>
          </objectPr>
        </oleObject>
      </mc:Choice>
      <mc:Fallback>
        <oleObject progId="Equation.3" shapeId="8200" r:id="rId1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X29"/>
  <sheetViews>
    <sheetView zoomScale="84" zoomScaleNormal="107" workbookViewId="0">
      <selection activeCell="C7" sqref="C7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78</v>
      </c>
    </row>
    <row r="2" spans="1:24" ht="18" x14ac:dyDescent="0.25">
      <c r="A2" s="62" t="s">
        <v>79</v>
      </c>
      <c r="B2" s="62" t="s">
        <v>81</v>
      </c>
      <c r="C2" s="2" t="s">
        <v>27</v>
      </c>
      <c r="D2" s="76" t="s">
        <v>86</v>
      </c>
      <c r="E2" s="62" t="s">
        <v>85</v>
      </c>
      <c r="F2" s="62" t="s">
        <v>88</v>
      </c>
      <c r="G2" s="62" t="s">
        <v>93</v>
      </c>
      <c r="H2" s="62" t="s">
        <v>96</v>
      </c>
      <c r="J2" s="62" t="s">
        <v>94</v>
      </c>
      <c r="X2" s="7" t="s">
        <v>65</v>
      </c>
    </row>
    <row r="3" spans="1:24" ht="17.25" x14ac:dyDescent="0.25">
      <c r="A3" s="78" t="s">
        <v>80</v>
      </c>
      <c r="B3" s="7"/>
      <c r="C3" s="7" t="s">
        <v>15</v>
      </c>
      <c r="D3" s="7" t="s">
        <v>16</v>
      </c>
      <c r="E3" s="7" t="s">
        <v>16</v>
      </c>
      <c r="F3" s="7" t="s">
        <v>87</v>
      </c>
      <c r="G3" s="7" t="s">
        <v>87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A4" s="15">
        <v>2</v>
      </c>
      <c r="B4" s="77" t="s">
        <v>82</v>
      </c>
      <c r="C4" s="15">
        <f>DATA!G8</f>
        <v>285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51</v>
      </c>
      <c r="I4" s="94">
        <f>'Facade Wall'!D5</f>
        <v>39.299999999999997</v>
      </c>
      <c r="J4" s="19">
        <f>'Facade Wall'!D6</f>
        <v>40.1</v>
      </c>
      <c r="K4" s="19">
        <f>'Facade Wall'!D7</f>
        <v>42.7</v>
      </c>
      <c r="L4" s="19">
        <f>'Facade Wall'!D8</f>
        <v>42.9</v>
      </c>
      <c r="M4" s="19">
        <f>'Facade Wall'!D9</f>
        <v>43</v>
      </c>
      <c r="N4" s="19">
        <f>'Facade Wall'!D10</f>
        <v>45.5</v>
      </c>
      <c r="O4" s="19">
        <f>'Facade Wall'!D11</f>
        <v>45.4</v>
      </c>
      <c r="P4" s="19">
        <f>'Facade Wall'!D12</f>
        <v>47</v>
      </c>
      <c r="Q4" s="19">
        <f>'Facade Wall'!D13</f>
        <v>48.6</v>
      </c>
      <c r="R4" s="19">
        <f>'Facade Wall'!D14</f>
        <v>49.5</v>
      </c>
      <c r="S4" s="19">
        <f>'Facade Wall'!D15</f>
        <v>50.8</v>
      </c>
      <c r="T4" s="19">
        <f>'Facade Wall'!D16</f>
        <v>52</v>
      </c>
      <c r="U4" s="19">
        <f>'Facade Wall'!D17</f>
        <v>55.1</v>
      </c>
      <c r="V4" s="19">
        <f>'Facade Wall'!D18</f>
        <v>56.3</v>
      </c>
      <c r="W4" s="19">
        <f>'Facade Wall'!D19</f>
        <v>53.4</v>
      </c>
      <c r="X4" s="19">
        <f>'Facade Wall'!D20</f>
        <v>55.4</v>
      </c>
    </row>
    <row r="5" spans="1:24" x14ac:dyDescent="0.25">
      <c r="A5" s="15">
        <v>2</v>
      </c>
      <c r="B5" s="77" t="s">
        <v>83</v>
      </c>
      <c r="C5" s="15">
        <f>Door!E7</f>
        <v>33.5</v>
      </c>
      <c r="D5" s="83">
        <f>DATA!D15</f>
        <v>0.9</v>
      </c>
      <c r="E5" s="83">
        <f>DATA!E15</f>
        <v>2.2000000000000002</v>
      </c>
      <c r="F5" s="83">
        <f t="shared" ref="F5:F6" si="0">D5*E5</f>
        <v>1.9800000000000002</v>
      </c>
      <c r="G5" s="91">
        <f>F5</f>
        <v>1.9800000000000002</v>
      </c>
      <c r="H5" s="95">
        <f>Door!D26</f>
        <v>43</v>
      </c>
      <c r="I5" s="94">
        <f>Door!D10</f>
        <v>13.335085325698742</v>
      </c>
      <c r="J5" s="19">
        <f>Door!D11</f>
        <v>18.563708284224454</v>
      </c>
      <c r="K5" s="19">
        <f>Door!D12</f>
        <v>23.858547886169106</v>
      </c>
      <c r="L5" s="19">
        <f>Door!D13</f>
        <v>29.209380760108267</v>
      </c>
      <c r="M5" s="19">
        <f>Door!D14</f>
        <v>34.608182420383429</v>
      </c>
      <c r="N5" s="19">
        <f>Door!D15</f>
        <v>40.048538640571323</v>
      </c>
      <c r="O5" s="19">
        <f>Door!D16</f>
        <v>45.525241496378257</v>
      </c>
      <c r="P5" s="19">
        <f>Door!D17</f>
        <v>51.034004640457653</v>
      </c>
      <c r="Q5" s="19">
        <f>Door!D18</f>
        <v>56.571257921967145</v>
      </c>
      <c r="R5" s="19">
        <f>Door!D19</f>
        <v>62.133996212500563</v>
      </c>
      <c r="S5" s="19">
        <f>Door!D20</f>
        <v>67.719666127680767</v>
      </c>
      <c r="T5" s="19">
        <f>Door!D21</f>
        <v>73.326079787168439</v>
      </c>
      <c r="U5" s="19">
        <f>Door!D22</f>
        <v>78.951348220121986</v>
      </c>
      <c r="V5" s="19">
        <f>Door!D23</f>
        <v>84.593829279033713</v>
      </c>
      <c r="W5" s="19">
        <f>Door!D24</f>
        <v>90.252086426807324</v>
      </c>
      <c r="X5" s="19">
        <f>Door!D25</f>
        <v>95.924855782081323</v>
      </c>
    </row>
    <row r="6" spans="1:24" ht="15.75" thickBot="1" x14ac:dyDescent="0.3">
      <c r="A6" s="88">
        <v>2</v>
      </c>
      <c r="B6" s="89" t="s">
        <v>84</v>
      </c>
      <c r="C6" s="111">
        <f>Window!B2</f>
        <v>25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26.5</v>
      </c>
      <c r="J6" s="100">
        <f>Window!D6</f>
        <v>27.5</v>
      </c>
      <c r="K6" s="100">
        <f>Window!D7</f>
        <v>26.5</v>
      </c>
      <c r="L6" s="100">
        <f>Window!D8</f>
        <v>26</v>
      </c>
      <c r="M6" s="100">
        <f>Window!D9</f>
        <v>30</v>
      </c>
      <c r="N6" s="100">
        <f>Window!D10</f>
        <v>31.5</v>
      </c>
      <c r="O6" s="100">
        <f>Window!D11</f>
        <v>32</v>
      </c>
      <c r="P6" s="100">
        <f>Window!D12</f>
        <v>35</v>
      </c>
      <c r="Q6" s="100">
        <f>Window!D13</f>
        <v>35.5</v>
      </c>
      <c r="R6" s="100">
        <f>Window!D14</f>
        <v>36</v>
      </c>
      <c r="S6" s="100">
        <f>Window!D15</f>
        <v>36.5</v>
      </c>
      <c r="T6" s="100">
        <f>Window!D16</f>
        <v>37</v>
      </c>
      <c r="U6" s="100">
        <f>Window!D17</f>
        <v>36.5</v>
      </c>
      <c r="V6" s="100">
        <f>Window!D18</f>
        <v>37</v>
      </c>
      <c r="W6" s="100">
        <f>Window!D19</f>
        <v>40</v>
      </c>
      <c r="X6" s="100">
        <f>Window!D20</f>
        <v>44</v>
      </c>
    </row>
    <row r="7" spans="1:24" ht="15.75" thickBot="1" x14ac:dyDescent="0.3">
      <c r="B7" s="112" t="s">
        <v>98</v>
      </c>
      <c r="C7" s="106">
        <f>(G4*C4+C5*G5+C6*G6)/G7</f>
        <v>256.51693548387095</v>
      </c>
      <c r="D7" s="84"/>
      <c r="E7" s="84"/>
      <c r="F7" s="84" t="s">
        <v>95</v>
      </c>
      <c r="G7" s="105">
        <f>SUM(G4:G6)</f>
        <v>37.200000000000003</v>
      </c>
      <c r="H7" s="107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  <c r="X7" s="106"/>
    </row>
    <row r="8" spans="1:24" x14ac:dyDescent="0.25">
      <c r="P8" s="73" t="s">
        <v>97</v>
      </c>
    </row>
    <row r="9" spans="1:24" ht="45" x14ac:dyDescent="0.25">
      <c r="C9" s="65" t="s">
        <v>38</v>
      </c>
      <c r="D9" s="16" t="s">
        <v>36</v>
      </c>
      <c r="E9" s="16" t="s">
        <v>34</v>
      </c>
      <c r="F9" s="31" t="s">
        <v>35</v>
      </c>
      <c r="G9" s="30" t="s">
        <v>39</v>
      </c>
      <c r="H9" s="15" t="s">
        <v>41</v>
      </c>
      <c r="I9" s="28" t="s">
        <v>43</v>
      </c>
      <c r="J9" s="30" t="s">
        <v>40</v>
      </c>
      <c r="K9" s="15" t="s">
        <v>42</v>
      </c>
      <c r="L9" s="27" t="s">
        <v>44</v>
      </c>
    </row>
    <row r="10" spans="1:24" x14ac:dyDescent="0.25">
      <c r="A10" s="41"/>
      <c r="C10" s="17">
        <v>100</v>
      </c>
      <c r="D10" s="43">
        <f>-10*LOG10((1/G7)*(G4*10^(-I4/10)+G5*10^(-I5/10)+G6*10^(-I6/10)))</f>
        <v>25.680043636641514</v>
      </c>
      <c r="E10" s="18">
        <f>Weighted_Index(D10:D25,1,FALSE,FALSE)</f>
        <v>28</v>
      </c>
      <c r="F10" s="32">
        <f t="shared" ref="F10:F25" si="1">MAX(0,E10-D10)</f>
        <v>2.3199563633584859</v>
      </c>
      <c r="G10" s="30">
        <v>-29</v>
      </c>
      <c r="H10" s="19">
        <f t="shared" ref="H10:H25" si="2">G10-D10</f>
        <v>-54.680043636641514</v>
      </c>
      <c r="I10" s="29">
        <f>10^(H10/10)</f>
        <v>3.4040476939608391E-6</v>
      </c>
      <c r="J10" s="30">
        <v>-20</v>
      </c>
      <c r="K10" s="19">
        <f t="shared" ref="K10:K25" si="3">J10-D10</f>
        <v>-45.680043636641514</v>
      </c>
      <c r="L10" s="26">
        <f>10^(K10/10)</f>
        <v>2.7039311956611754E-5</v>
      </c>
    </row>
    <row r="11" spans="1:24" x14ac:dyDescent="0.25">
      <c r="A11" s="41"/>
      <c r="C11" s="17">
        <v>125</v>
      </c>
      <c r="D11" s="43">
        <f>-10*LOG10((1/G7)*(G4*10^(-J4/10)+G5*10^(-J5/10)+G6*10^(-J6/10)))</f>
        <v>30.310554464119342</v>
      </c>
      <c r="E11" s="19">
        <f>Weighted_Index(D10:D25,2,FALSE,FALSE)</f>
        <v>31</v>
      </c>
      <c r="F11" s="33">
        <f t="shared" si="1"/>
        <v>0.68944553588065816</v>
      </c>
      <c r="G11" s="30">
        <v>-26</v>
      </c>
      <c r="H11" s="19">
        <f t="shared" si="2"/>
        <v>-56.310554464119342</v>
      </c>
      <c r="I11" s="29">
        <f t="shared" ref="I11:I25" si="4">10^(H11/10)</f>
        <v>2.3385386581785939E-6</v>
      </c>
      <c r="J11" s="30">
        <v>-20</v>
      </c>
      <c r="K11" s="19">
        <f t="shared" si="3"/>
        <v>-50.310554464119342</v>
      </c>
      <c r="L11" s="26">
        <f t="shared" ref="L11:L25" si="5">10^(K11/10)</f>
        <v>9.3098900843745169E-6</v>
      </c>
    </row>
    <row r="12" spans="1:24" x14ac:dyDescent="0.25">
      <c r="A12" s="41"/>
      <c r="C12" s="17">
        <v>160</v>
      </c>
      <c r="D12" s="43">
        <f>-10*LOG10((1/G7)*(G4*10^(-K4/10)+G5*10^(-K5/10)+G6*10^(-K6/10)))</f>
        <v>34.016169222688816</v>
      </c>
      <c r="E12" s="19">
        <f>Weighted_Index(D10:D25,3,FALSE,FALSE)</f>
        <v>34</v>
      </c>
      <c r="F12" s="33">
        <f t="shared" si="1"/>
        <v>0</v>
      </c>
      <c r="G12" s="30">
        <v>-23</v>
      </c>
      <c r="H12" s="19">
        <f t="shared" si="2"/>
        <v>-57.016169222688816</v>
      </c>
      <c r="I12" s="29">
        <f t="shared" si="4"/>
        <v>1.9878475631239498E-6</v>
      </c>
      <c r="J12" s="30">
        <v>-18</v>
      </c>
      <c r="K12" s="19">
        <f t="shared" si="3"/>
        <v>-52.016169222688816</v>
      </c>
      <c r="L12" s="26">
        <f t="shared" si="5"/>
        <v>6.286125940687022E-6</v>
      </c>
    </row>
    <row r="13" spans="1:24" x14ac:dyDescent="0.25">
      <c r="A13" s="41"/>
      <c r="C13" s="17">
        <v>200</v>
      </c>
      <c r="D13" s="43">
        <f>-10*LOG10((1/G7)*(G4*10^(-L4/10)+G5*10^(-L5/10)+G6*10^(-L6/10)))</f>
        <v>35.929774596819627</v>
      </c>
      <c r="E13" s="19">
        <f>Weighted_Index(D10:D25,4,FALSE,FALSE)</f>
        <v>37</v>
      </c>
      <c r="F13" s="33">
        <f t="shared" si="1"/>
        <v>1.0702254031803733</v>
      </c>
      <c r="G13" s="30">
        <v>-21</v>
      </c>
      <c r="H13" s="19">
        <f t="shared" si="2"/>
        <v>-56.929774596819627</v>
      </c>
      <c r="I13" s="29">
        <f t="shared" si="4"/>
        <v>2.0277879610137691E-6</v>
      </c>
      <c r="J13" s="30">
        <v>-16</v>
      </c>
      <c r="K13" s="19">
        <f t="shared" si="3"/>
        <v>-51.929774596819627</v>
      </c>
      <c r="L13" s="26">
        <f t="shared" si="5"/>
        <v>6.4124285686722241E-6</v>
      </c>
    </row>
    <row r="14" spans="1:24" x14ac:dyDescent="0.25">
      <c r="A14" s="41"/>
      <c r="C14" s="17">
        <v>250</v>
      </c>
      <c r="D14" s="43">
        <f>-10*LOG10((1/G7)*(G4*10^(-M4/10)+G5*10^(-M5/10)+G6*10^(-M6/10)))</f>
        <v>39.171208873791571</v>
      </c>
      <c r="E14" s="19">
        <f>Weighted_Index(D10:D25,5,FALSE,FALSE)</f>
        <v>40</v>
      </c>
      <c r="F14" s="32">
        <f t="shared" si="1"/>
        <v>0.82879112620842932</v>
      </c>
      <c r="G14" s="30">
        <v>-19</v>
      </c>
      <c r="H14" s="19">
        <f t="shared" si="2"/>
        <v>-58.171208873791571</v>
      </c>
      <c r="I14" s="29">
        <f t="shared" si="4"/>
        <v>1.5236285874506952E-6</v>
      </c>
      <c r="J14" s="30">
        <v>-15</v>
      </c>
      <c r="K14" s="19">
        <f t="shared" si="3"/>
        <v>-54.171208873791571</v>
      </c>
      <c r="L14" s="26">
        <f t="shared" si="5"/>
        <v>3.8271819754775012E-6</v>
      </c>
      <c r="O14" t="s">
        <v>155</v>
      </c>
    </row>
    <row r="15" spans="1:24" x14ac:dyDescent="0.25">
      <c r="A15" s="41"/>
      <c r="C15" s="17">
        <v>315</v>
      </c>
      <c r="D15" s="43">
        <f>-10*LOG10((1/G7)*(G4*10^(-N4/10)+G5*10^(-N5/10)+G6*10^(-N6/10)))</f>
        <v>41.461972074070616</v>
      </c>
      <c r="E15" s="19">
        <f>Weighted_Index(D10:D25,6,FALSE,FALSE)</f>
        <v>43</v>
      </c>
      <c r="F15" s="33">
        <f t="shared" si="1"/>
        <v>1.5380279259293843</v>
      </c>
      <c r="G15" s="30">
        <v>-17</v>
      </c>
      <c r="H15" s="19">
        <f t="shared" si="2"/>
        <v>-58.461972074070616</v>
      </c>
      <c r="I15" s="29">
        <f t="shared" si="4"/>
        <v>1.424960390915249E-6</v>
      </c>
      <c r="J15" s="30">
        <v>-14</v>
      </c>
      <c r="K15" s="19">
        <f t="shared" si="3"/>
        <v>-55.461972074070616</v>
      </c>
      <c r="L15" s="26">
        <f t="shared" si="5"/>
        <v>2.8431697683165207E-6</v>
      </c>
    </row>
    <row r="16" spans="1:24" x14ac:dyDescent="0.25">
      <c r="A16" s="41"/>
      <c r="C16" s="17">
        <v>400</v>
      </c>
      <c r="D16" s="43">
        <f>-10*LOG10((1/G7)*(G4*10^(-O4/10)+G5*10^(-O5/10)+G6*10^(-O6/10)))</f>
        <v>41.954631786401478</v>
      </c>
      <c r="E16" s="19">
        <f>Weighted_Index(D10:D25,7,FALSE,FALSE)</f>
        <v>46</v>
      </c>
      <c r="F16" s="33">
        <f t="shared" si="1"/>
        <v>4.0453682135985218</v>
      </c>
      <c r="G16" s="30">
        <v>-15</v>
      </c>
      <c r="H16" s="19">
        <f t="shared" si="2"/>
        <v>-56.954631786401478</v>
      </c>
      <c r="I16" s="29">
        <f t="shared" si="4"/>
        <v>2.0162149068162576E-6</v>
      </c>
      <c r="J16" s="30">
        <v>-13</v>
      </c>
      <c r="K16" s="19">
        <f t="shared" si="3"/>
        <v>-54.954631786401478</v>
      </c>
      <c r="L16" s="26">
        <f t="shared" si="5"/>
        <v>3.1954852803517043E-6</v>
      </c>
    </row>
    <row r="17" spans="1:12" x14ac:dyDescent="0.25">
      <c r="A17" s="45"/>
      <c r="C17" s="20">
        <v>500</v>
      </c>
      <c r="D17" s="43">
        <f>-10*LOG10((1/G7)*(G4*10^(-P4/10)+G5*10^(-P5/10)+G6*10^(-P6/10)))</f>
        <v>44.375502030762604</v>
      </c>
      <c r="E17" s="21">
        <f>Weighted_Index(D10:D25,8,FALSE,FALSE)</f>
        <v>47</v>
      </c>
      <c r="F17" s="33">
        <f t="shared" si="1"/>
        <v>2.624497969237396</v>
      </c>
      <c r="G17" s="30">
        <v>-13</v>
      </c>
      <c r="H17" s="19">
        <f t="shared" si="2"/>
        <v>-57.375502030762604</v>
      </c>
      <c r="I17" s="29">
        <f t="shared" si="4"/>
        <v>1.8299945524688397E-6</v>
      </c>
      <c r="J17" s="30">
        <v>-12</v>
      </c>
      <c r="K17" s="19">
        <f t="shared" si="3"/>
        <v>-56.375502030762604</v>
      </c>
      <c r="L17" s="26">
        <f t="shared" si="5"/>
        <v>2.3038266455479188E-6</v>
      </c>
    </row>
    <row r="18" spans="1:12" x14ac:dyDescent="0.25">
      <c r="A18" s="41"/>
      <c r="C18" s="17">
        <v>630</v>
      </c>
      <c r="D18" s="43">
        <f>-10*LOG10((1/G7)*(G4*10^(-Q4/10)+G5*10^(-Q5/10)+G6*10^(-Q6/10)))</f>
        <v>45.413677214189363</v>
      </c>
      <c r="E18" s="19">
        <f>Weighted_Index(D10:D25,9,FALSE,FALSE)</f>
        <v>48</v>
      </c>
      <c r="F18" s="33">
        <f t="shared" si="1"/>
        <v>2.586322785810637</v>
      </c>
      <c r="G18" s="30">
        <v>-12</v>
      </c>
      <c r="H18" s="19">
        <f t="shared" si="2"/>
        <v>-57.413677214189363</v>
      </c>
      <c r="I18" s="29">
        <f t="shared" si="4"/>
        <v>1.8139790983687186E-6</v>
      </c>
      <c r="J18" s="30">
        <v>-11</v>
      </c>
      <c r="K18" s="19">
        <f t="shared" si="3"/>
        <v>-56.413677214189363</v>
      </c>
      <c r="L18" s="26">
        <f t="shared" si="5"/>
        <v>2.2836643833998533E-6</v>
      </c>
    </row>
    <row r="19" spans="1:12" x14ac:dyDescent="0.25">
      <c r="A19" s="41"/>
      <c r="C19" s="17">
        <v>800</v>
      </c>
      <c r="D19" s="43">
        <f>-10*LOG10((1/G7)*(G4*10^(-R4/10)+G5*10^(-R5/10)+G6*10^(-R6/10)))</f>
        <v>46.092556629084754</v>
      </c>
      <c r="E19" s="19">
        <f>Weighted_Index(D10:D25,10,FALSE,FALSE)</f>
        <v>49</v>
      </c>
      <c r="F19" s="33">
        <f t="shared" si="1"/>
        <v>2.9074433709152459</v>
      </c>
      <c r="G19" s="30">
        <v>-11</v>
      </c>
      <c r="H19" s="19">
        <f t="shared" si="2"/>
        <v>-57.092556629084754</v>
      </c>
      <c r="I19" s="29">
        <f t="shared" si="4"/>
        <v>1.9531893028490266E-6</v>
      </c>
      <c r="J19" s="30">
        <v>-9</v>
      </c>
      <c r="K19" s="19">
        <f t="shared" si="3"/>
        <v>-55.092556629084754</v>
      </c>
      <c r="L19" s="26">
        <f t="shared" si="5"/>
        <v>3.0955964296732897E-6</v>
      </c>
    </row>
    <row r="20" spans="1:12" x14ac:dyDescent="0.25">
      <c r="A20" s="41"/>
      <c r="C20" s="22">
        <v>1000</v>
      </c>
      <c r="D20" s="43">
        <f>-10*LOG10((1/G7)*(G4*10^(-S4/10)+G5*10^(-S5/10)+G6*10^(-S6/10)))</f>
        <v>46.903700605180838</v>
      </c>
      <c r="E20" s="19">
        <f>Weighted_Index(D10:D25,11,FALSE,FALSE)</f>
        <v>50</v>
      </c>
      <c r="F20" s="33">
        <f t="shared" si="1"/>
        <v>3.0962993948191624</v>
      </c>
      <c r="G20" s="30">
        <v>-10</v>
      </c>
      <c r="H20" s="19">
        <f t="shared" si="2"/>
        <v>-56.903700605180838</v>
      </c>
      <c r="I20" s="29">
        <f t="shared" si="4"/>
        <v>2.0399989292850289E-6</v>
      </c>
      <c r="J20" s="30">
        <v>-8</v>
      </c>
      <c r="K20" s="19">
        <f t="shared" si="3"/>
        <v>-54.903700605180838</v>
      </c>
      <c r="L20" s="26">
        <f t="shared" si="5"/>
        <v>3.2331804156518084E-6</v>
      </c>
    </row>
    <row r="21" spans="1:12" x14ac:dyDescent="0.25">
      <c r="A21" s="41"/>
      <c r="C21" s="22">
        <v>1250</v>
      </c>
      <c r="D21" s="43">
        <f>-10*LOG10((1/G7)*(G4*10^(-T4/10)+G5*10^(-T5/10)+G6*10^(-T6/10)))</f>
        <v>47.645915632055605</v>
      </c>
      <c r="E21" s="19">
        <f>Weighted_Index(D10:D25,12,FALSE,FALSE)</f>
        <v>51</v>
      </c>
      <c r="F21" s="33">
        <f t="shared" si="1"/>
        <v>3.3540843679443952</v>
      </c>
      <c r="G21" s="30">
        <v>-9</v>
      </c>
      <c r="H21" s="19">
        <f t="shared" si="2"/>
        <v>-56.645915632055605</v>
      </c>
      <c r="I21" s="29">
        <f t="shared" si="4"/>
        <v>2.16475343174093E-6</v>
      </c>
      <c r="J21" s="30">
        <v>-9</v>
      </c>
      <c r="K21" s="19">
        <f t="shared" si="3"/>
        <v>-56.645915632055605</v>
      </c>
      <c r="L21" s="26">
        <f t="shared" si="5"/>
        <v>2.16475343174093E-6</v>
      </c>
    </row>
    <row r="22" spans="1:12" x14ac:dyDescent="0.25">
      <c r="A22" s="41"/>
      <c r="C22" s="22">
        <v>1600</v>
      </c>
      <c r="D22" s="43">
        <f>-10*LOG10((1/G7)*(G4*10^(-U4/10)+G5*10^(-U5/10)+G6*10^(-U6/10)))</f>
        <v>48.02827572746348</v>
      </c>
      <c r="E22" s="19">
        <f>Weighted_Index(D10:D25,13,FALSE,FALSE)</f>
        <v>51</v>
      </c>
      <c r="F22" s="33">
        <f t="shared" si="1"/>
        <v>2.9717242725365196</v>
      </c>
      <c r="G22" s="30">
        <v>-9</v>
      </c>
      <c r="H22" s="19">
        <f t="shared" si="2"/>
        <v>-57.02827572746348</v>
      </c>
      <c r="I22" s="29">
        <f t="shared" si="4"/>
        <v>1.9823139045533155E-6</v>
      </c>
      <c r="J22" s="30">
        <v>-10</v>
      </c>
      <c r="K22" s="19">
        <f t="shared" si="3"/>
        <v>-58.02827572746348</v>
      </c>
      <c r="L22" s="26">
        <f t="shared" si="5"/>
        <v>1.5746079044732316E-6</v>
      </c>
    </row>
    <row r="23" spans="1:12" x14ac:dyDescent="0.25">
      <c r="A23" s="41"/>
      <c r="C23" s="22">
        <v>2000</v>
      </c>
      <c r="D23" s="43">
        <f>-10*LOG10((1/G7)*(G4*10^(-V4/10)+G5*10^(-V5/10)+G6*10^(-V6/10)))</f>
        <v>48.642658701742675</v>
      </c>
      <c r="E23" s="19">
        <f>Weighted_Index(D10:D25,14,FALSE,FALSE)</f>
        <v>51</v>
      </c>
      <c r="F23" s="33">
        <f t="shared" si="1"/>
        <v>2.3573412982573245</v>
      </c>
      <c r="G23" s="30">
        <v>-9</v>
      </c>
      <c r="H23" s="19">
        <f t="shared" si="2"/>
        <v>-57.642658701742675</v>
      </c>
      <c r="I23" s="29">
        <f t="shared" si="4"/>
        <v>1.7208147890924338E-6</v>
      </c>
      <c r="J23" s="30">
        <v>-11</v>
      </c>
      <c r="K23" s="19">
        <f t="shared" si="3"/>
        <v>-59.642658701742675</v>
      </c>
      <c r="L23" s="26">
        <f t="shared" si="5"/>
        <v>1.085760729668006E-6</v>
      </c>
    </row>
    <row r="24" spans="1:12" x14ac:dyDescent="0.25">
      <c r="A24" s="41"/>
      <c r="C24" s="22">
        <v>2500</v>
      </c>
      <c r="D24" s="43">
        <f>-10*LOG10((1/G7)*(G4*10^(-W4/10)+G5*10^(-W5/10)+G6*10^(-W6/10)))</f>
        <v>50.057405453315546</v>
      </c>
      <c r="E24" s="19">
        <f>Weighted_Index(D10:D25,15,FALSE,FALSE)</f>
        <v>51</v>
      </c>
      <c r="F24" s="33">
        <f t="shared" si="1"/>
        <v>0.94259454668445386</v>
      </c>
      <c r="G24" s="30">
        <v>-9</v>
      </c>
      <c r="H24" s="19">
        <f t="shared" si="2"/>
        <v>-59.057405453315546</v>
      </c>
      <c r="I24" s="29">
        <f t="shared" si="4"/>
        <v>1.2423943127294363E-6</v>
      </c>
      <c r="J24" s="30">
        <v>-13</v>
      </c>
      <c r="K24" s="19">
        <f t="shared" si="3"/>
        <v>-63.057405453315546</v>
      </c>
      <c r="L24" s="26">
        <f t="shared" si="5"/>
        <v>4.9460608455247368E-7</v>
      </c>
    </row>
    <row r="25" spans="1:12" ht="15.75" thickBot="1" x14ac:dyDescent="0.3">
      <c r="A25" s="41"/>
      <c r="C25" s="22">
        <v>3150</v>
      </c>
      <c r="D25" s="43">
        <f>-10*LOG10((1/G7)*(G4*10^(-X4/10)+G5*10^(-X5/10)+G6*10^(-X6/10)))</f>
        <v>53.120547497383143</v>
      </c>
      <c r="E25" s="19">
        <f>Weighted_Index(D10:D25,16,FALSE,FALSE)</f>
        <v>51</v>
      </c>
      <c r="F25" s="33">
        <f t="shared" si="1"/>
        <v>0</v>
      </c>
      <c r="G25" s="30">
        <v>-9</v>
      </c>
      <c r="H25" s="19">
        <f t="shared" si="2"/>
        <v>-62.120547497383143</v>
      </c>
      <c r="I25" s="29">
        <f t="shared" si="4"/>
        <v>6.1368463556296097E-7</v>
      </c>
      <c r="J25" s="30">
        <v>-15</v>
      </c>
      <c r="K25" s="19">
        <f t="shared" si="3"/>
        <v>-68.120547497383143</v>
      </c>
      <c r="L25" s="26">
        <f t="shared" si="5"/>
        <v>1.5415061092965037E-7</v>
      </c>
    </row>
    <row r="26" spans="1:12" ht="18.75" thickBot="1" x14ac:dyDescent="0.3">
      <c r="C26" s="2" t="s">
        <v>37</v>
      </c>
      <c r="D26" s="23">
        <f>Weighted_Index(D10:D25,0,FALSE,FALSE)</f>
        <v>47</v>
      </c>
      <c r="E26" s="39" t="s">
        <v>48</v>
      </c>
      <c r="F26" s="35">
        <f>SUM(F10:F25)</f>
        <v>31.332122574360987</v>
      </c>
      <c r="G26" s="74" t="s">
        <v>45</v>
      </c>
      <c r="H26" s="34"/>
      <c r="I26" s="36">
        <f>-10*LOG10(SUM(I10:I25))</f>
        <v>45.216622730956438</v>
      </c>
      <c r="J26" s="74" t="s">
        <v>45</v>
      </c>
      <c r="K26" s="34"/>
      <c r="L26" s="37">
        <f>-10*LOG10(SUM(L10:L25))</f>
        <v>41.231834525870845</v>
      </c>
    </row>
    <row r="27" spans="1:12" ht="15.75" thickBot="1" x14ac:dyDescent="0.3">
      <c r="C27" s="2" t="s">
        <v>46</v>
      </c>
      <c r="D27" s="38">
        <f>INT(I26+0.49999)-D26</f>
        <v>-2</v>
      </c>
      <c r="E27" t="s">
        <v>2</v>
      </c>
    </row>
    <row r="28" spans="1:12" ht="18.75" thickBot="1" x14ac:dyDescent="0.4">
      <c r="C28" s="2" t="s">
        <v>47</v>
      </c>
      <c r="D28" s="25">
        <f>INT(L26+0.49999)-D26</f>
        <v>-6</v>
      </c>
      <c r="E28" t="s">
        <v>2</v>
      </c>
      <c r="F28" s="73" t="str">
        <f>IF(H7&lt;&gt;D26,"NOTE: The weighted index is different","NOTE: The weighted index is the same!")</f>
        <v>NOTE: The weighted index is different</v>
      </c>
    </row>
    <row r="29" spans="1:12" x14ac:dyDescent="0.25">
      <c r="D29" s="7"/>
    </row>
  </sheetData>
  <conditionalFormatting sqref="F10:F25">
    <cfRule type="cellIs" dxfId="2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9217" r:id="rId4">
          <objectPr defaultSize="0" autoPict="0" r:id="rId5">
            <anchor moveWithCells="1" sizeWithCells="1">
              <from>
                <xdr:col>13</xdr:col>
                <xdr:colOff>533400</xdr:colOff>
                <xdr:row>8</xdr:row>
                <xdr:rowOff>180975</xdr:rowOff>
              </from>
              <to>
                <xdr:col>23</xdr:col>
                <xdr:colOff>314325</xdr:colOff>
                <xdr:row>12</xdr:row>
                <xdr:rowOff>28575</xdr:rowOff>
              </to>
            </anchor>
          </objectPr>
        </oleObject>
      </mc:Choice>
      <mc:Fallback>
        <oleObject progId="Equation.3" shapeId="9217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X31"/>
  <sheetViews>
    <sheetView topLeftCell="A10" zoomScale="85" zoomScaleNormal="85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20" max="20" width="9.42578125" customWidth="1"/>
  </cols>
  <sheetData>
    <row r="1" spans="1:24" x14ac:dyDescent="0.25">
      <c r="A1" s="2" t="s">
        <v>78</v>
      </c>
    </row>
    <row r="2" spans="1:24" ht="18" x14ac:dyDescent="0.25">
      <c r="B2" s="62" t="s">
        <v>79</v>
      </c>
      <c r="C2" s="62" t="s">
        <v>81</v>
      </c>
      <c r="D2" s="76" t="s">
        <v>86</v>
      </c>
      <c r="E2" s="62" t="s">
        <v>85</v>
      </c>
      <c r="F2" s="62" t="s">
        <v>88</v>
      </c>
      <c r="G2" s="62" t="s">
        <v>93</v>
      </c>
      <c r="H2" s="62" t="s">
        <v>96</v>
      </c>
      <c r="J2" s="62" t="s">
        <v>94</v>
      </c>
      <c r="X2" s="7" t="s">
        <v>65</v>
      </c>
    </row>
    <row r="3" spans="1:24" ht="17.25" x14ac:dyDescent="0.25">
      <c r="B3" s="78" t="s">
        <v>80</v>
      </c>
      <c r="C3" s="7"/>
      <c r="D3" s="7" t="s">
        <v>16</v>
      </c>
      <c r="E3" s="7" t="s">
        <v>16</v>
      </c>
      <c r="F3" s="7" t="s">
        <v>87</v>
      </c>
      <c r="G3" s="7" t="s">
        <v>87</v>
      </c>
      <c r="H3" s="7" t="s">
        <v>2</v>
      </c>
      <c r="I3" s="86">
        <v>100</v>
      </c>
      <c r="J3" s="86">
        <v>125</v>
      </c>
      <c r="K3" s="86">
        <v>160</v>
      </c>
      <c r="L3" s="86">
        <v>200</v>
      </c>
      <c r="M3" s="86">
        <v>250</v>
      </c>
      <c r="N3" s="86">
        <v>315</v>
      </c>
      <c r="O3" s="86">
        <v>400</v>
      </c>
      <c r="P3" s="101">
        <v>500</v>
      </c>
      <c r="Q3" s="86">
        <v>630</v>
      </c>
      <c r="R3" s="86">
        <v>800</v>
      </c>
      <c r="S3" s="102">
        <v>1000</v>
      </c>
      <c r="T3" s="102">
        <v>1250</v>
      </c>
      <c r="U3" s="102">
        <v>1600</v>
      </c>
      <c r="V3" s="102">
        <v>2000</v>
      </c>
      <c r="W3" s="102">
        <v>2500</v>
      </c>
      <c r="X3" s="102">
        <v>3150</v>
      </c>
    </row>
    <row r="4" spans="1:24" x14ac:dyDescent="0.25">
      <c r="B4" s="15">
        <v>2</v>
      </c>
      <c r="C4" s="77" t="s">
        <v>82</v>
      </c>
      <c r="D4" s="83">
        <f>DATA!D8</f>
        <v>12</v>
      </c>
      <c r="E4" s="83">
        <f>DATA!E8</f>
        <v>3.1</v>
      </c>
      <c r="F4" s="83">
        <f>D4*E4</f>
        <v>37.200000000000003</v>
      </c>
      <c r="G4" s="91">
        <f>F4-F5-F6</f>
        <v>33.06</v>
      </c>
      <c r="H4" s="95">
        <f>'Facade Wall'!D21</f>
        <v>51</v>
      </c>
      <c r="I4" s="94">
        <f>'Facade Wall'!D5</f>
        <v>39.299999999999997</v>
      </c>
      <c r="J4" s="19">
        <f>'Facade Wall'!D6</f>
        <v>40.1</v>
      </c>
      <c r="K4" s="19">
        <f>'Facade Wall'!D7</f>
        <v>42.7</v>
      </c>
      <c r="L4" s="19">
        <f>'Facade Wall'!D8</f>
        <v>42.9</v>
      </c>
      <c r="M4" s="19">
        <f>'Facade Wall'!D9</f>
        <v>43</v>
      </c>
      <c r="N4" s="19">
        <f>'Facade Wall'!D10</f>
        <v>45.5</v>
      </c>
      <c r="O4" s="19">
        <f>'Facade Wall'!D11</f>
        <v>45.4</v>
      </c>
      <c r="P4" s="19">
        <f>'Facade Wall'!D12</f>
        <v>47</v>
      </c>
      <c r="Q4" s="19">
        <f>'Facade Wall'!D13</f>
        <v>48.6</v>
      </c>
      <c r="R4" s="19">
        <f>'Facade Wall'!D14</f>
        <v>49.5</v>
      </c>
      <c r="S4" s="19">
        <f>'Facade Wall'!D15</f>
        <v>50.8</v>
      </c>
      <c r="T4" s="19">
        <f>'Facade Wall'!D16</f>
        <v>52</v>
      </c>
      <c r="U4" s="19">
        <f>'Facade Wall'!D17</f>
        <v>55.1</v>
      </c>
      <c r="V4" s="19">
        <f>'Facade Wall'!D18</f>
        <v>56.3</v>
      </c>
      <c r="W4" s="19">
        <f>'Facade Wall'!D19</f>
        <v>53.4</v>
      </c>
      <c r="X4" s="19">
        <f>'Facade Wall'!D20</f>
        <v>55.4</v>
      </c>
    </row>
    <row r="5" spans="1:24" x14ac:dyDescent="0.25">
      <c r="B5" s="15">
        <v>2</v>
      </c>
      <c r="C5" s="77" t="s">
        <v>83</v>
      </c>
      <c r="D5" s="83">
        <f>DATA!D15</f>
        <v>0.9</v>
      </c>
      <c r="E5" s="83">
        <f>DATA!E15</f>
        <v>2.2000000000000002</v>
      </c>
      <c r="F5" s="83">
        <f t="shared" ref="F5:F8" si="0">D5*E5</f>
        <v>1.9800000000000002</v>
      </c>
      <c r="G5" s="91">
        <f>F5</f>
        <v>1.9800000000000002</v>
      </c>
      <c r="H5" s="95">
        <f>Door!D26</f>
        <v>43</v>
      </c>
      <c r="I5" s="94">
        <f>Door!D10</f>
        <v>13.335085325698742</v>
      </c>
      <c r="J5" s="19">
        <f>Door!D11</f>
        <v>18.563708284224454</v>
      </c>
      <c r="K5" s="19">
        <f>Door!D12</f>
        <v>23.858547886169106</v>
      </c>
      <c r="L5" s="19">
        <f>Door!D13</f>
        <v>29.209380760108267</v>
      </c>
      <c r="M5" s="19">
        <f>Door!D14</f>
        <v>34.608182420383429</v>
      </c>
      <c r="N5" s="19">
        <f>Door!D15</f>
        <v>40.048538640571323</v>
      </c>
      <c r="O5" s="19">
        <f>Door!D16</f>
        <v>45.525241496378257</v>
      </c>
      <c r="P5" s="19">
        <f>Door!D17</f>
        <v>51.034004640457653</v>
      </c>
      <c r="Q5" s="19">
        <f>Door!D18</f>
        <v>56.571257921967145</v>
      </c>
      <c r="R5" s="19">
        <f>Door!D19</f>
        <v>62.133996212500563</v>
      </c>
      <c r="S5" s="19">
        <f>Door!D20</f>
        <v>67.719666127680767</v>
      </c>
      <c r="T5" s="19">
        <f>Door!D21</f>
        <v>73.326079787168439</v>
      </c>
      <c r="U5" s="19">
        <f>Door!D22</f>
        <v>78.951348220121986</v>
      </c>
      <c r="V5" s="19">
        <f>Door!D23</f>
        <v>84.593829279033713</v>
      </c>
      <c r="W5" s="19">
        <f>Door!D24</f>
        <v>90.252086426807324</v>
      </c>
      <c r="X5" s="19">
        <f>Door!D25</f>
        <v>95.924855782081323</v>
      </c>
    </row>
    <row r="6" spans="1:24" ht="15.75" thickBot="1" x14ac:dyDescent="0.3">
      <c r="B6" s="88">
        <v>2</v>
      </c>
      <c r="C6" s="89" t="s">
        <v>84</v>
      </c>
      <c r="D6" s="90">
        <f>DATA!D13</f>
        <v>1.8</v>
      </c>
      <c r="E6" s="90">
        <f>DATA!E13</f>
        <v>1.2</v>
      </c>
      <c r="F6" s="90">
        <f t="shared" si="0"/>
        <v>2.16</v>
      </c>
      <c r="G6" s="92">
        <f>F6</f>
        <v>2.16</v>
      </c>
      <c r="H6" s="99">
        <f>Window!D21</f>
        <v>37</v>
      </c>
      <c r="I6" s="100">
        <f>Window!D5</f>
        <v>26.5</v>
      </c>
      <c r="J6" s="100">
        <f>Window!D6</f>
        <v>27.5</v>
      </c>
      <c r="K6" s="100">
        <f>Window!D7</f>
        <v>26.5</v>
      </c>
      <c r="L6" s="100">
        <f>Window!D8</f>
        <v>26</v>
      </c>
      <c r="M6" s="100">
        <f>Window!D9</f>
        <v>30</v>
      </c>
      <c r="N6" s="100">
        <f>Window!D10</f>
        <v>31.5</v>
      </c>
      <c r="O6" s="100">
        <f>Window!D11</f>
        <v>32</v>
      </c>
      <c r="P6" s="100">
        <f>Window!D12</f>
        <v>35</v>
      </c>
      <c r="Q6" s="100">
        <f>Window!D13</f>
        <v>35.5</v>
      </c>
      <c r="R6" s="100">
        <f>Window!D14</f>
        <v>36</v>
      </c>
      <c r="S6" s="100">
        <f>Window!D15</f>
        <v>36.5</v>
      </c>
      <c r="T6" s="100">
        <f>Window!D16</f>
        <v>37</v>
      </c>
      <c r="U6" s="100">
        <f>Window!D17</f>
        <v>36.5</v>
      </c>
      <c r="V6" s="100">
        <f>Window!D18</f>
        <v>37</v>
      </c>
      <c r="W6" s="100">
        <f>Window!D19</f>
        <v>40</v>
      </c>
      <c r="X6" s="100">
        <f>Window!D20</f>
        <v>44</v>
      </c>
    </row>
    <row r="7" spans="1:24" x14ac:dyDescent="0.25">
      <c r="B7" s="85">
        <v>3</v>
      </c>
      <c r="C7" s="86" t="s">
        <v>82</v>
      </c>
      <c r="D7" s="87">
        <f>DATA!D9</f>
        <v>7.2</v>
      </c>
      <c r="E7" s="87">
        <f>DATA!E9</f>
        <v>3.1</v>
      </c>
      <c r="F7" s="87">
        <f t="shared" si="0"/>
        <v>22.32</v>
      </c>
      <c r="G7" s="93">
        <f>F7-F8</f>
        <v>20.399999999999999</v>
      </c>
      <c r="H7" s="96">
        <f>'Facade Wall'!D21</f>
        <v>51</v>
      </c>
      <c r="I7" s="97">
        <f>'Facade Wall'!D$5</f>
        <v>39.299999999999997</v>
      </c>
      <c r="J7" s="18">
        <f>'Facade Wall'!D6</f>
        <v>40.1</v>
      </c>
      <c r="K7" s="18">
        <f>'Facade Wall'!D7</f>
        <v>42.7</v>
      </c>
      <c r="L7" s="18">
        <f>'Facade Wall'!D8</f>
        <v>42.9</v>
      </c>
      <c r="M7" s="18">
        <f>'Facade Wall'!D9</f>
        <v>43</v>
      </c>
      <c r="N7" s="18">
        <f>'Facade Wall'!D10</f>
        <v>45.5</v>
      </c>
      <c r="O7" s="18">
        <f>'Facade Wall'!D11</f>
        <v>45.4</v>
      </c>
      <c r="P7" s="18">
        <f>'Facade Wall'!D12</f>
        <v>47</v>
      </c>
      <c r="Q7" s="18">
        <f>'Facade Wall'!D13</f>
        <v>48.6</v>
      </c>
      <c r="R7" s="18">
        <f>'Facade Wall'!D14</f>
        <v>49.5</v>
      </c>
      <c r="S7" s="18">
        <f>'Facade Wall'!D15</f>
        <v>50.8</v>
      </c>
      <c r="T7" s="18">
        <f>'Facade Wall'!D16</f>
        <v>52</v>
      </c>
      <c r="U7" s="18">
        <f>'Facade Wall'!D17</f>
        <v>55.1</v>
      </c>
      <c r="V7" s="18">
        <f>'Facade Wall'!D18</f>
        <v>56.3</v>
      </c>
      <c r="W7" s="98">
        <f>'Facade Wall'!D19</f>
        <v>53.4</v>
      </c>
      <c r="X7" s="18">
        <f>'Facade Wall'!D20</f>
        <v>55.4</v>
      </c>
    </row>
    <row r="8" spans="1:24" ht="15.75" thickBot="1" x14ac:dyDescent="0.3">
      <c r="B8" s="27">
        <v>3</v>
      </c>
      <c r="C8" s="15" t="s">
        <v>84</v>
      </c>
      <c r="D8" s="83">
        <f>DATA!D14</f>
        <v>1.6</v>
      </c>
      <c r="E8" s="83">
        <f>DATA!E14</f>
        <v>1.2</v>
      </c>
      <c r="F8" s="83">
        <f t="shared" si="0"/>
        <v>1.92</v>
      </c>
      <c r="G8" s="104">
        <f>F8</f>
        <v>1.92</v>
      </c>
      <c r="H8" s="95">
        <f>Window!D21</f>
        <v>37</v>
      </c>
      <c r="I8" s="103">
        <f>Window!D5</f>
        <v>26.5</v>
      </c>
      <c r="J8" s="100">
        <f>Window!D6</f>
        <v>27.5</v>
      </c>
      <c r="K8" s="100">
        <f>Window!D7</f>
        <v>26.5</v>
      </c>
      <c r="L8" s="100">
        <f>Window!D8</f>
        <v>26</v>
      </c>
      <c r="M8" s="100">
        <f>Window!D9</f>
        <v>30</v>
      </c>
      <c r="N8" s="100">
        <f>Window!D10</f>
        <v>31.5</v>
      </c>
      <c r="O8" s="100">
        <f>Window!D11</f>
        <v>32</v>
      </c>
      <c r="P8" s="100">
        <f>Window!D12</f>
        <v>35</v>
      </c>
      <c r="Q8" s="100">
        <f>Window!D13</f>
        <v>35.5</v>
      </c>
      <c r="R8" s="100">
        <f>Window!D14</f>
        <v>36</v>
      </c>
      <c r="S8" s="100">
        <f>Window!D15</f>
        <v>36.5</v>
      </c>
      <c r="T8" s="100">
        <f>Window!D16</f>
        <v>37</v>
      </c>
      <c r="U8" s="100">
        <f>Window!D17</f>
        <v>36.5</v>
      </c>
      <c r="V8" s="100">
        <f>Window!D18</f>
        <v>37</v>
      </c>
      <c r="W8" s="100">
        <f>Window!D19</f>
        <v>40</v>
      </c>
      <c r="X8" s="100">
        <f>Window!D20</f>
        <v>44</v>
      </c>
    </row>
    <row r="9" spans="1:24" ht="15.75" thickBot="1" x14ac:dyDescent="0.3">
      <c r="B9" s="68"/>
      <c r="C9" s="79"/>
      <c r="D9" s="84"/>
      <c r="E9" s="84"/>
      <c r="F9" s="84" t="s">
        <v>95</v>
      </c>
      <c r="G9" s="105">
        <f>SUM(G4:G8)</f>
        <v>59.52</v>
      </c>
      <c r="H9" s="107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P10" s="73" t="s">
        <v>97</v>
      </c>
    </row>
    <row r="11" spans="1:24" ht="45" x14ac:dyDescent="0.25">
      <c r="C11" s="65" t="s">
        <v>38</v>
      </c>
      <c r="D11" s="16" t="s">
        <v>36</v>
      </c>
      <c r="E11" s="16" t="s">
        <v>34</v>
      </c>
      <c r="F11" s="31" t="s">
        <v>35</v>
      </c>
      <c r="G11" s="30" t="s">
        <v>39</v>
      </c>
      <c r="H11" s="15" t="s">
        <v>41</v>
      </c>
      <c r="I11" s="28" t="s">
        <v>43</v>
      </c>
      <c r="J11" s="30" t="s">
        <v>40</v>
      </c>
      <c r="K11" s="15" t="s">
        <v>42</v>
      </c>
      <c r="L11" s="27" t="s">
        <v>44</v>
      </c>
    </row>
    <row r="12" spans="1:24" x14ac:dyDescent="0.25">
      <c r="A12" s="41"/>
      <c r="C12" s="17">
        <v>100</v>
      </c>
      <c r="D12" s="43">
        <f>-10*LOG10((1/G9)*(G4*10^(-I4/10)+G5*10^(-I5/10)+G6*10^(-I6/10)+G7*10^(-I7/10)+G8*10^(-I8/10)))</f>
        <v>27.441385870502177</v>
      </c>
      <c r="E12" s="18">
        <f>Weighted_Index(D12:D27,1,FALSE,FALSE)</f>
        <v>27</v>
      </c>
      <c r="F12" s="32">
        <f t="shared" ref="F12:F27" si="1">MAX(0,E12-D12)</f>
        <v>0</v>
      </c>
      <c r="G12" s="30">
        <v>-29</v>
      </c>
      <c r="H12" s="19">
        <f t="shared" ref="H12:H27" si="2">G12-D12</f>
        <v>-56.441385870502174</v>
      </c>
      <c r="I12" s="29">
        <f>10^(H12/10)</f>
        <v>2.2691406343285317E-6</v>
      </c>
      <c r="J12" s="30">
        <v>-20</v>
      </c>
      <c r="K12" s="19">
        <f t="shared" ref="K12:K27" si="3">J12-D12</f>
        <v>-47.441385870502174</v>
      </c>
      <c r="L12" s="26">
        <f>10^(K12/10)</f>
        <v>1.8024424744073194E-5</v>
      </c>
    </row>
    <row r="13" spans="1:24" x14ac:dyDescent="0.25">
      <c r="A13" s="41"/>
      <c r="C13" s="17">
        <v>125</v>
      </c>
      <c r="D13" s="43">
        <f>-10*LOG10((1/G9)*(G4*10^(-J4/10)+G5*10^(-J5/10)+G6*10^(-J6/10)+G7*10^(-J7/10)+G8*10^(-J8/10)))</f>
        <v>31.721617871541138</v>
      </c>
      <c r="E13" s="19">
        <f>Weighted_Index(D12:D27,2,FALSE,FALSE)</f>
        <v>30</v>
      </c>
      <c r="F13" s="33">
        <f t="shared" si="1"/>
        <v>0</v>
      </c>
      <c r="G13" s="30">
        <v>-26</v>
      </c>
      <c r="H13" s="19">
        <f t="shared" si="2"/>
        <v>-57.721617871541142</v>
      </c>
      <c r="I13" s="29">
        <f t="shared" ref="I13:I27" si="4">10^(H13/10)</f>
        <v>1.6898113111817804E-6</v>
      </c>
      <c r="J13" s="30">
        <v>-20</v>
      </c>
      <c r="K13" s="19">
        <f t="shared" si="3"/>
        <v>-51.721617871541142</v>
      </c>
      <c r="L13" s="26">
        <f t="shared" ref="L13:L27" si="5">10^(K13/10)</f>
        <v>6.7272599986387364E-6</v>
      </c>
    </row>
    <row r="14" spans="1:24" x14ac:dyDescent="0.25">
      <c r="A14" s="41"/>
      <c r="C14" s="17">
        <v>160</v>
      </c>
      <c r="D14" s="43">
        <f>-10*LOG10((1/G9)*(G4*10^(-K4/10)+G5*10^(-K5/10)+G6*10^(-K6/10)+G7*10^(-K7/10)+G8*10^(-K8/10)))</f>
        <v>34.704214720089439</v>
      </c>
      <c r="E14" s="19">
        <f>Weighted_Index(D12:D27,3,FALSE,FALSE)</f>
        <v>33</v>
      </c>
      <c r="F14" s="33">
        <f t="shared" si="1"/>
        <v>0</v>
      </c>
      <c r="G14" s="30">
        <v>-23</v>
      </c>
      <c r="H14" s="19">
        <f t="shared" si="2"/>
        <v>-57.704214720089439</v>
      </c>
      <c r="I14" s="29">
        <f t="shared" si="4"/>
        <v>1.6965963486360812E-6</v>
      </c>
      <c r="J14" s="30">
        <v>-18</v>
      </c>
      <c r="K14" s="19">
        <f t="shared" si="3"/>
        <v>-52.704214720089439</v>
      </c>
      <c r="L14" s="26">
        <f t="shared" si="5"/>
        <v>5.3651087316151154E-6</v>
      </c>
    </row>
    <row r="15" spans="1:24" x14ac:dyDescent="0.25">
      <c r="A15" s="41"/>
      <c r="C15" s="17">
        <v>200</v>
      </c>
      <c r="D15" s="43">
        <f>-10*LOG10((1/G9)*(G4*10^(-L4/10)+G5*10^(-L5/10)+G6*10^(-L6/10)+G7*10^(-L7/10)+G8*10^(-L8/10)))</f>
        <v>35.881133741561769</v>
      </c>
      <c r="E15" s="19">
        <f>Weighted_Index(D12:D27,4,FALSE,FALSE)</f>
        <v>36</v>
      </c>
      <c r="F15" s="33">
        <f t="shared" si="1"/>
        <v>0.1188662584382314</v>
      </c>
      <c r="G15" s="30">
        <v>-21</v>
      </c>
      <c r="H15" s="19">
        <f t="shared" si="2"/>
        <v>-56.881133741561769</v>
      </c>
      <c r="I15" s="29">
        <f t="shared" si="4"/>
        <v>2.0506267853548144E-6</v>
      </c>
      <c r="J15" s="30">
        <v>-16</v>
      </c>
      <c r="K15" s="19">
        <f t="shared" si="3"/>
        <v>-51.881133741561769</v>
      </c>
      <c r="L15" s="26">
        <f t="shared" si="5"/>
        <v>6.48465127267042E-6</v>
      </c>
      <c r="N15" t="s">
        <v>155</v>
      </c>
    </row>
    <row r="16" spans="1:24" x14ac:dyDescent="0.25">
      <c r="A16" s="41"/>
      <c r="C16" s="17">
        <v>250</v>
      </c>
      <c r="D16" s="43">
        <f>-10*LOG10((1/G9)*(G4*10^(-M4/10)+G5*10^(-M5/10)+G6*10^(-M6/10)+G7*10^(-M7/10)+G8*10^(-M8/10)))</f>
        <v>39.028219253600327</v>
      </c>
      <c r="E16" s="19">
        <f>Weighted_Index(D12:D27,5,FALSE,FALSE)</f>
        <v>39</v>
      </c>
      <c r="F16" s="32">
        <f t="shared" si="1"/>
        <v>0</v>
      </c>
      <c r="G16" s="30">
        <v>-19</v>
      </c>
      <c r="H16" s="19">
        <f t="shared" si="2"/>
        <v>-58.028219253600327</v>
      </c>
      <c r="I16" s="29">
        <f t="shared" si="4"/>
        <v>1.5746283801580927E-6</v>
      </c>
      <c r="J16" s="30">
        <v>-15</v>
      </c>
      <c r="K16" s="19">
        <f t="shared" si="3"/>
        <v>-54.028219253600327</v>
      </c>
      <c r="L16" s="26">
        <f t="shared" si="5"/>
        <v>3.9552876627890285E-6</v>
      </c>
    </row>
    <row r="17" spans="1:14" ht="18.75" x14ac:dyDescent="0.35">
      <c r="A17" s="41"/>
      <c r="C17" s="17">
        <v>315</v>
      </c>
      <c r="D17" s="43">
        <f>-10*LOG10((1/G9)*(G4*10^(-N4/10)+G5*10^(-N5/10)+G6*10^(-N6/10)+G7*10^(-N7/10)+G8*10^(-N8/10)))</f>
        <v>41.127626582267389</v>
      </c>
      <c r="E17" s="19">
        <f>Weighted_Index(D12:D27,6,FALSE,FALSE)</f>
        <v>42</v>
      </c>
      <c r="F17" s="33">
        <f t="shared" si="1"/>
        <v>0.87237341773261079</v>
      </c>
      <c r="G17" s="30">
        <v>-17</v>
      </c>
      <c r="H17" s="19">
        <f t="shared" si="2"/>
        <v>-58.127626582267389</v>
      </c>
      <c r="I17" s="29">
        <f t="shared" si="4"/>
        <v>1.5389954709792883E-6</v>
      </c>
      <c r="J17" s="30">
        <v>-14</v>
      </c>
      <c r="K17" s="19">
        <f t="shared" si="3"/>
        <v>-55.127626582267389</v>
      </c>
      <c r="L17" s="26">
        <f t="shared" si="5"/>
        <v>3.0706996661527526E-6</v>
      </c>
      <c r="N17" t="s">
        <v>156</v>
      </c>
    </row>
    <row r="18" spans="1:14" x14ac:dyDescent="0.25">
      <c r="A18" s="41"/>
      <c r="C18" s="17">
        <v>400</v>
      </c>
      <c r="D18" s="43">
        <f>-10*LOG10((1/G9)*(G4*10^(-O4/10)+G5*10^(-O5/10)+G6*10^(-O6/10)+G7*10^(-O7/10)+G8*10^(-O8/10)))</f>
        <v>41.543613263581051</v>
      </c>
      <c r="E18" s="19">
        <f>Weighted_Index(D12:D27,7,FALSE,FALSE)</f>
        <v>45</v>
      </c>
      <c r="F18" s="33">
        <f t="shared" si="1"/>
        <v>3.4563867364189491</v>
      </c>
      <c r="G18" s="30">
        <v>-15</v>
      </c>
      <c r="H18" s="19">
        <f t="shared" si="2"/>
        <v>-56.543613263581051</v>
      </c>
      <c r="I18" s="29">
        <f t="shared" si="4"/>
        <v>2.2163516818519436E-6</v>
      </c>
      <c r="J18" s="30">
        <v>-13</v>
      </c>
      <c r="K18" s="19">
        <f t="shared" si="3"/>
        <v>-54.543613263581051</v>
      </c>
      <c r="L18" s="26">
        <f t="shared" si="5"/>
        <v>3.5126806926668848E-6</v>
      </c>
    </row>
    <row r="19" spans="1:14" x14ac:dyDescent="0.25">
      <c r="A19" s="45"/>
      <c r="C19" s="20">
        <v>500</v>
      </c>
      <c r="D19" s="43">
        <f>-10*LOG10((1/G9)*(G4*10^(-P4/10)+G5*10^(-P5/10)+G6*10^(-P6/10)+G7*10^(-P7/10)+G8*10^(-P8/10)))</f>
        <v>43.994600782066598</v>
      </c>
      <c r="E19" s="21">
        <f>Weighted_Index(D12:D27,8,FALSE,FALSE)</f>
        <v>46</v>
      </c>
      <c r="F19" s="33">
        <f t="shared" si="1"/>
        <v>2.0053992179334017</v>
      </c>
      <c r="G19" s="30">
        <v>-13</v>
      </c>
      <c r="H19" s="19">
        <f t="shared" si="2"/>
        <v>-56.994600782066598</v>
      </c>
      <c r="I19" s="29">
        <f t="shared" si="4"/>
        <v>1.9977443993127379E-6</v>
      </c>
      <c r="J19" s="30">
        <v>-12</v>
      </c>
      <c r="K19" s="19">
        <f t="shared" si="3"/>
        <v>-55.994600782066598</v>
      </c>
      <c r="L19" s="26">
        <f t="shared" si="5"/>
        <v>2.5150111905642817E-6</v>
      </c>
    </row>
    <row r="20" spans="1:14" x14ac:dyDescent="0.25">
      <c r="A20" s="41"/>
      <c r="C20" s="17">
        <v>630</v>
      </c>
      <c r="D20" s="43">
        <f>-10*LOG10((1/G9)*(G4*10^(-Q4/10)+G5*10^(-Q5/10)+G6*10^(-Q6/10)+G7*10^(-Q7/10)+G8*10^(-Q8/10)))</f>
        <v>44.976926263885673</v>
      </c>
      <c r="E20" s="19">
        <f>Weighted_Index(D12:D27,9,FALSE,FALSE)</f>
        <v>47</v>
      </c>
      <c r="F20" s="33">
        <f t="shared" si="1"/>
        <v>2.0230737361143269</v>
      </c>
      <c r="G20" s="30">
        <v>-12</v>
      </c>
      <c r="H20" s="19">
        <f t="shared" si="2"/>
        <v>-56.976926263885673</v>
      </c>
      <c r="I20" s="29">
        <f t="shared" si="4"/>
        <v>2.0058912024053681E-6</v>
      </c>
      <c r="J20" s="30">
        <v>-11</v>
      </c>
      <c r="K20" s="19">
        <f t="shared" si="3"/>
        <v>-55.976926263885673</v>
      </c>
      <c r="L20" s="26">
        <f t="shared" si="5"/>
        <v>2.5252674080024773E-6</v>
      </c>
    </row>
    <row r="21" spans="1:14" x14ac:dyDescent="0.25">
      <c r="A21" s="41"/>
      <c r="C21" s="17">
        <v>800</v>
      </c>
      <c r="D21" s="43">
        <f>-10*LOG10((1/G9)*(G4*10^(-R4/10)+G5*10^(-R5/10)+G6*10^(-R6/10)+G7*10^(-R7/10)+G8*10^(-R8/10)))</f>
        <v>45.63571210105831</v>
      </c>
      <c r="E21" s="19">
        <f>Weighted_Index(D12:D27,10,FALSE,FALSE)</f>
        <v>48</v>
      </c>
      <c r="F21" s="33">
        <f t="shared" si="1"/>
        <v>2.36428789894169</v>
      </c>
      <c r="G21" s="30">
        <v>-11</v>
      </c>
      <c r="H21" s="19">
        <f t="shared" si="2"/>
        <v>-56.63571210105831</v>
      </c>
      <c r="I21" s="29">
        <f t="shared" si="4"/>
        <v>2.1698453906470837E-6</v>
      </c>
      <c r="J21" s="30">
        <v>-9</v>
      </c>
      <c r="K21" s="19">
        <f t="shared" si="3"/>
        <v>-54.63571210105831</v>
      </c>
      <c r="L21" s="26">
        <f t="shared" si="5"/>
        <v>3.4389731883296823E-6</v>
      </c>
    </row>
    <row r="22" spans="1:14" x14ac:dyDescent="0.25">
      <c r="A22" s="41"/>
      <c r="C22" s="22">
        <v>1000</v>
      </c>
      <c r="D22" s="43">
        <f>-10*LOG10((1/G9)*(G4*10^(-S4/10)+G5*10^(-S5/10)+G6*10^(-S6/10)+G7*10^(-S7/10)+G8*10^(-S8/10)))</f>
        <v>46.416372095931273</v>
      </c>
      <c r="E22" s="19">
        <f>Weighted_Index(D12:D27,11,FALSE,FALSE)</f>
        <v>49</v>
      </c>
      <c r="F22" s="33">
        <f t="shared" si="1"/>
        <v>2.5836279040687273</v>
      </c>
      <c r="G22" s="30">
        <v>-10</v>
      </c>
      <c r="H22" s="19">
        <f t="shared" si="2"/>
        <v>-56.416372095931273</v>
      </c>
      <c r="I22" s="29">
        <f t="shared" si="4"/>
        <v>2.282247764791828E-6</v>
      </c>
      <c r="J22" s="30">
        <v>-8</v>
      </c>
      <c r="K22" s="19">
        <f t="shared" si="3"/>
        <v>-54.416372095931273</v>
      </c>
      <c r="L22" s="26">
        <f t="shared" si="5"/>
        <v>3.6171189459281665E-6</v>
      </c>
    </row>
    <row r="23" spans="1:14" x14ac:dyDescent="0.25">
      <c r="A23" s="41"/>
      <c r="C23" s="22">
        <v>1250</v>
      </c>
      <c r="D23" s="43">
        <f>-10*LOG10((1/G9)*(G4*10^(-T4/10)+G5*10^(-T5/10)+G6*10^(-T6/10)+G7*10^(-T7/10)+G8*10^(-T8/10)))</f>
        <v>47.13410718246508</v>
      </c>
      <c r="E23" s="19">
        <f>Weighted_Index(D12:D27,12,FALSE,FALSE)</f>
        <v>50</v>
      </c>
      <c r="F23" s="33">
        <f t="shared" si="1"/>
        <v>2.8658928175349203</v>
      </c>
      <c r="G23" s="30">
        <v>-9</v>
      </c>
      <c r="H23" s="19">
        <f t="shared" si="2"/>
        <v>-56.13410718246508</v>
      </c>
      <c r="I23" s="29">
        <f t="shared" si="4"/>
        <v>2.4355064370652179E-6</v>
      </c>
      <c r="J23" s="30">
        <v>-9</v>
      </c>
      <c r="K23" s="19">
        <f t="shared" si="3"/>
        <v>-56.13410718246508</v>
      </c>
      <c r="L23" s="26">
        <f t="shared" si="5"/>
        <v>2.4355064370652179E-6</v>
      </c>
    </row>
    <row r="24" spans="1:14" x14ac:dyDescent="0.25">
      <c r="A24" s="41"/>
      <c r="C24" s="22">
        <v>1600</v>
      </c>
      <c r="D24" s="43">
        <f>-10*LOG10((1/G9)*(G4*10^(-U4/10)+G5*10^(-U5/10)+G6*10^(-U6/10)+G7*10^(-U7/10)+G8*10^(-U8/10)))</f>
        <v>47.41790175353281</v>
      </c>
      <c r="E24" s="19">
        <f>Weighted_Index(D12:D27,13,FALSE,FALSE)</f>
        <v>50</v>
      </c>
      <c r="F24" s="33">
        <f t="shared" si="1"/>
        <v>2.58209824646719</v>
      </c>
      <c r="G24" s="30">
        <v>-9</v>
      </c>
      <c r="H24" s="19">
        <f t="shared" si="2"/>
        <v>-56.41790175353281</v>
      </c>
      <c r="I24" s="29">
        <f t="shared" si="4"/>
        <v>2.2814440606106223E-6</v>
      </c>
      <c r="J24" s="30">
        <v>-10</v>
      </c>
      <c r="K24" s="19">
        <f t="shared" si="3"/>
        <v>-57.41790175353281</v>
      </c>
      <c r="L24" s="26">
        <f t="shared" si="5"/>
        <v>1.8122154332870277E-6</v>
      </c>
    </row>
    <row r="25" spans="1:14" x14ac:dyDescent="0.25">
      <c r="A25" s="41"/>
      <c r="C25" s="22">
        <v>2000</v>
      </c>
      <c r="D25" s="43">
        <f>-10*LOG10((1/G9)*(G4*10^(-V4/10)+G5*10^(-V5/10)+G6*10^(-V6/10)+G7*10^(-V7/10)+G8*10^(-V8/10)))</f>
        <v>48.018140438982329</v>
      </c>
      <c r="E25" s="19">
        <f>Weighted_Index(D12:D27,14,FALSE,FALSE)</f>
        <v>50</v>
      </c>
      <c r="F25" s="33">
        <f t="shared" si="1"/>
        <v>1.9818595610176715</v>
      </c>
      <c r="G25" s="30">
        <v>-9</v>
      </c>
      <c r="H25" s="19">
        <f t="shared" si="2"/>
        <v>-57.018140438982329</v>
      </c>
      <c r="I25" s="29">
        <f t="shared" si="4"/>
        <v>1.9869455050675676E-6</v>
      </c>
      <c r="J25" s="30">
        <v>-11</v>
      </c>
      <c r="K25" s="19">
        <f t="shared" si="3"/>
        <v>-59.018140438982329</v>
      </c>
      <c r="L25" s="26">
        <f t="shared" si="5"/>
        <v>1.2536778595042912E-6</v>
      </c>
    </row>
    <row r="26" spans="1:14" x14ac:dyDescent="0.25">
      <c r="A26" s="41"/>
      <c r="C26" s="22">
        <v>2500</v>
      </c>
      <c r="D26" s="43">
        <f>-10*LOG10((1/G9)*(G4*10^(-W4/10)+G5*10^(-W5/10)+G6*10^(-W6/10)+G7*10^(-W7/10)+G8*10^(-W8/10)))</f>
        <v>49.601747899498392</v>
      </c>
      <c r="E26" s="19">
        <f>Weighted_Index(D12:D27,15,FALSE,FALSE)</f>
        <v>50</v>
      </c>
      <c r="F26" s="33">
        <f t="shared" si="1"/>
        <v>0.3982521005016082</v>
      </c>
      <c r="G26" s="30">
        <v>-9</v>
      </c>
      <c r="H26" s="19">
        <f t="shared" si="2"/>
        <v>-58.601747899498392</v>
      </c>
      <c r="I26" s="29">
        <f t="shared" si="4"/>
        <v>1.3798288148800562E-6</v>
      </c>
      <c r="J26" s="30">
        <v>-13</v>
      </c>
      <c r="K26" s="19">
        <f t="shared" si="3"/>
        <v>-62.601747899498392</v>
      </c>
      <c r="L26" s="26">
        <f t="shared" si="5"/>
        <v>5.4931974534008471E-7</v>
      </c>
    </row>
    <row r="27" spans="1:14" ht="15.75" thickBot="1" x14ac:dyDescent="0.3">
      <c r="A27" s="41"/>
      <c r="C27" s="22">
        <v>3150</v>
      </c>
      <c r="D27" s="43">
        <f>-10*LOG10((1/G9)*(G4*10^(-X4/10)+G5*10^(-X5/10)+G6*10^(-X6/10)+G7*10^(-X7/10)+G8*10^(-X8/10)))</f>
        <v>52.74140275825512</v>
      </c>
      <c r="E27" s="19">
        <f>Weighted_Index(D12:D27,16,FALSE,FALSE)</f>
        <v>50</v>
      </c>
      <c r="F27" s="33">
        <f t="shared" si="1"/>
        <v>0</v>
      </c>
      <c r="G27" s="30">
        <v>-9</v>
      </c>
      <c r="H27" s="19">
        <f t="shared" si="2"/>
        <v>-61.74140275825512</v>
      </c>
      <c r="I27" s="29">
        <f t="shared" si="4"/>
        <v>6.6966827362056082E-7</v>
      </c>
      <c r="J27" s="30">
        <v>-15</v>
      </c>
      <c r="K27" s="19">
        <f t="shared" si="3"/>
        <v>-67.74140275825512</v>
      </c>
      <c r="L27" s="26">
        <f t="shared" si="5"/>
        <v>1.6821306501199324E-7</v>
      </c>
    </row>
    <row r="28" spans="1:14" ht="18.75" thickBot="1" x14ac:dyDescent="0.3">
      <c r="C28" s="2" t="s">
        <v>37</v>
      </c>
      <c r="D28" s="23">
        <f>Weighted_Index(D12:D27,0,FALSE,FALSE)</f>
        <v>46</v>
      </c>
      <c r="E28" s="39" t="s">
        <v>48</v>
      </c>
      <c r="F28" s="35">
        <f>SUM(F12:F27)</f>
        <v>21.252117895169327</v>
      </c>
      <c r="G28" s="74" t="s">
        <v>45</v>
      </c>
      <c r="H28" s="34"/>
      <c r="I28" s="36">
        <f>-10*LOG10(SUM(I12:I27))</f>
        <v>45.193424988495124</v>
      </c>
      <c r="J28" s="74" t="s">
        <v>45</v>
      </c>
      <c r="K28" s="34"/>
      <c r="L28" s="37">
        <f>-10*LOG10(SUM(L12:L27))</f>
        <v>41.840544123724825</v>
      </c>
    </row>
    <row r="29" spans="1:14" ht="15.75" thickBot="1" x14ac:dyDescent="0.3">
      <c r="C29" s="2" t="s">
        <v>46</v>
      </c>
      <c r="D29" s="38">
        <f>INT(I28+0.49999)-D28</f>
        <v>-1</v>
      </c>
      <c r="E29" t="s">
        <v>2</v>
      </c>
    </row>
    <row r="30" spans="1:14" ht="18.75" thickBot="1" x14ac:dyDescent="0.4">
      <c r="C30" s="2" t="s">
        <v>47</v>
      </c>
      <c r="D30" s="25">
        <f>INT(L28+0.49999)-D28</f>
        <v>-4</v>
      </c>
      <c r="E30" t="s">
        <v>2</v>
      </c>
      <c r="F30" s="73" t="str">
        <f>IF(D28&lt;&gt;H9,"NOTE: The weighted index is different","NOTE: The weighted index is the same!")</f>
        <v>NOTE: The weighted index is different</v>
      </c>
    </row>
    <row r="31" spans="1:14" x14ac:dyDescent="0.25">
      <c r="D31" s="7"/>
    </row>
  </sheetData>
  <conditionalFormatting sqref="F12:F2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 sizeWithCells="1">
              <from>
                <xdr:col>13</xdr:col>
                <xdr:colOff>200025</xdr:colOff>
                <xdr:row>10</xdr:row>
                <xdr:rowOff>114300</xdr:rowOff>
              </from>
              <to>
                <xdr:col>22</xdr:col>
                <xdr:colOff>600075</xdr:colOff>
                <xdr:row>13</xdr:row>
                <xdr:rowOff>142875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 sizeWithCells="1">
              <from>
                <xdr:col>13</xdr:col>
                <xdr:colOff>66675</xdr:colOff>
                <xdr:row>17</xdr:row>
                <xdr:rowOff>114300</xdr:rowOff>
              </from>
              <to>
                <xdr:col>17</xdr:col>
                <xdr:colOff>600075</xdr:colOff>
                <xdr:row>20</xdr:row>
                <xdr:rowOff>180975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O24"/>
  <sheetViews>
    <sheetView topLeftCell="A10" zoomScale="107" zoomScaleNormal="107" workbookViewId="0">
      <selection activeCell="D21" sqref="D21"/>
    </sheetView>
  </sheetViews>
  <sheetFormatPr defaultColWidth="8.85546875" defaultRowHeight="15" x14ac:dyDescent="0.25"/>
  <cols>
    <col min="3" max="3" width="10.42578125" customWidth="1"/>
    <col min="4" max="4" width="11.42578125" customWidth="1"/>
    <col min="5" max="5" width="11.85546875" customWidth="1"/>
    <col min="6" max="6" width="10.140625" customWidth="1"/>
    <col min="7" max="7" width="10.85546875" customWidth="1"/>
    <col min="9" max="9" width="9.42578125" bestFit="1" customWidth="1"/>
    <col min="10" max="10" width="11.42578125" customWidth="1"/>
    <col min="11" max="12" width="9.42578125" customWidth="1"/>
    <col min="14" max="14" width="10.140625" customWidth="1"/>
  </cols>
  <sheetData>
    <row r="1" spans="1:15" x14ac:dyDescent="0.25">
      <c r="A1" s="2" t="s">
        <v>51</v>
      </c>
    </row>
    <row r="2" spans="1:15" ht="18.75" x14ac:dyDescent="0.35">
      <c r="A2" t="s">
        <v>53</v>
      </c>
      <c r="B2" s="4">
        <f>DATA!G10</f>
        <v>160</v>
      </c>
      <c r="C2" t="s">
        <v>15</v>
      </c>
      <c r="D2" s="44" t="s">
        <v>50</v>
      </c>
      <c r="E2" t="s">
        <v>52</v>
      </c>
      <c r="G2" s="69">
        <f>18.1*LOG10(B2) +2.9</f>
        <v>42.794571686072238</v>
      </c>
      <c r="H2" t="s">
        <v>2</v>
      </c>
      <c r="J2" t="s">
        <v>77</v>
      </c>
      <c r="K2" s="69">
        <f>D21-G2</f>
        <v>6.2054283139277615</v>
      </c>
      <c r="L2" t="s">
        <v>2</v>
      </c>
      <c r="N2" t="s">
        <v>75</v>
      </c>
    </row>
    <row r="3" spans="1:15" x14ac:dyDescent="0.25">
      <c r="C3" s="40"/>
    </row>
    <row r="4" spans="1:15" ht="45" x14ac:dyDescent="0.25">
      <c r="C4" s="24" t="s">
        <v>38</v>
      </c>
      <c r="D4" s="16" t="s">
        <v>36</v>
      </c>
      <c r="E4" s="16" t="s">
        <v>34</v>
      </c>
      <c r="F4" s="31" t="s">
        <v>35</v>
      </c>
      <c r="G4" s="30" t="s">
        <v>39</v>
      </c>
      <c r="H4" s="15" t="s">
        <v>41</v>
      </c>
      <c r="I4" s="28" t="s">
        <v>43</v>
      </c>
      <c r="J4" s="30" t="s">
        <v>40</v>
      </c>
      <c r="K4" s="15" t="s">
        <v>42</v>
      </c>
      <c r="L4" s="27" t="s">
        <v>44</v>
      </c>
      <c r="N4" s="70" t="s">
        <v>76</v>
      </c>
      <c r="O4" s="27" t="s">
        <v>70</v>
      </c>
    </row>
    <row r="5" spans="1:15" x14ac:dyDescent="0.25">
      <c r="A5" s="41"/>
      <c r="C5" s="17">
        <v>100</v>
      </c>
      <c r="D5" s="43">
        <f>O5</f>
        <v>31.776025811425612</v>
      </c>
      <c r="E5" s="18">
        <f>Weighted_Index(D5:D20,1,FALSE,FALSE)</f>
        <v>30</v>
      </c>
      <c r="F5" s="32">
        <f>MAX(0,E5-D5)</f>
        <v>0</v>
      </c>
      <c r="G5" s="30">
        <v>-29</v>
      </c>
      <c r="H5" s="19">
        <f>G5-D5</f>
        <v>-60.776025811425612</v>
      </c>
      <c r="I5" s="29">
        <f>10^(H5/10)</f>
        <v>8.3636802078287389E-7</v>
      </c>
      <c r="J5" s="30">
        <v>-20</v>
      </c>
      <c r="K5" s="19">
        <f>J5-D5</f>
        <v>-51.776025811425612</v>
      </c>
      <c r="L5" s="26">
        <f>10^(K5/10)</f>
        <v>6.6435073352830158E-6</v>
      </c>
      <c r="N5" s="15">
        <v>33</v>
      </c>
      <c r="O5" s="71">
        <f>20*LOG10(160*C5)-42.5-10*LOG10(0.23*(20*LOG10(160*C5) - 42.5))</f>
        <v>31.776025811425612</v>
      </c>
    </row>
    <row r="6" spans="1:15" x14ac:dyDescent="0.25">
      <c r="A6" s="41"/>
      <c r="C6" s="17">
        <v>125</v>
      </c>
      <c r="D6" s="43">
        <f>O6</f>
        <v>33.516372820110725</v>
      </c>
      <c r="E6" s="19">
        <f>Weighted_Index(D5:D20,2,FALSE,FALSE)</f>
        <v>33</v>
      </c>
      <c r="F6" s="33">
        <f>MAX(0,E6-D6)</f>
        <v>0</v>
      </c>
      <c r="G6" s="30">
        <v>-26</v>
      </c>
      <c r="H6" s="19">
        <f>G6-D6</f>
        <v>-59.516372820110725</v>
      </c>
      <c r="I6" s="29">
        <f t="shared" ref="I6:I20" si="0">10^(H6/10)</f>
        <v>1.1177964293551452E-6</v>
      </c>
      <c r="J6" s="30">
        <v>-20</v>
      </c>
      <c r="K6" s="19">
        <f>J6-D6</f>
        <v>-53.516372820110725</v>
      </c>
      <c r="L6" s="26">
        <f t="shared" ref="L6:L20" si="1">10^(K6/10)</f>
        <v>4.4500277374537885E-6</v>
      </c>
      <c r="N6" s="15">
        <v>36</v>
      </c>
      <c r="O6" s="71">
        <f t="shared" ref="O6:O20" si="2">20*LOG10(160*C6)-42.5-10*LOG10(0.23*(20*LOG10(160*C6) - 42.5))</f>
        <v>33.516372820110725</v>
      </c>
    </row>
    <row r="7" spans="1:15" x14ac:dyDescent="0.25">
      <c r="A7" s="41"/>
      <c r="C7" s="17">
        <v>160</v>
      </c>
      <c r="D7" s="43">
        <f t="shared" ref="D7:D20" si="3">O7</f>
        <v>35.451705413134157</v>
      </c>
      <c r="E7" s="19">
        <f>Weighted_Index(D5:D20,3,FALSE,FALSE)</f>
        <v>36</v>
      </c>
      <c r="F7" s="33">
        <f t="shared" ref="F7:F20" si="4">MAX(0,E7-D7)</f>
        <v>0.54829458686584331</v>
      </c>
      <c r="G7" s="30">
        <v>-23</v>
      </c>
      <c r="H7" s="19">
        <f t="shared" ref="H7:H20" si="5">G7-D7</f>
        <v>-58.451705413134157</v>
      </c>
      <c r="I7" s="29">
        <f t="shared" si="0"/>
        <v>1.4283329621758683E-6</v>
      </c>
      <c r="J7" s="30">
        <v>-18</v>
      </c>
      <c r="K7" s="19">
        <f t="shared" ref="K7:K20" si="6">J7-D7</f>
        <v>-53.451705413134157</v>
      </c>
      <c r="L7" s="26">
        <f t="shared" si="1"/>
        <v>4.5167854175708778E-6</v>
      </c>
      <c r="N7" s="15">
        <v>39</v>
      </c>
      <c r="O7" s="71">
        <f t="shared" si="2"/>
        <v>35.451705413134157</v>
      </c>
    </row>
    <row r="8" spans="1:15" x14ac:dyDescent="0.25">
      <c r="A8" s="41"/>
      <c r="C8" s="17">
        <v>200</v>
      </c>
      <c r="D8" s="43">
        <f t="shared" si="3"/>
        <v>37.209378012191394</v>
      </c>
      <c r="E8" s="19">
        <f>Weighted_Index(D5:D20,4,FALSE,FALSE)</f>
        <v>39</v>
      </c>
      <c r="F8" s="33">
        <f t="shared" si="4"/>
        <v>1.7906219878086063</v>
      </c>
      <c r="G8" s="30">
        <v>-21</v>
      </c>
      <c r="H8" s="19">
        <f t="shared" si="5"/>
        <v>-58.209378012191394</v>
      </c>
      <c r="I8" s="29">
        <f t="shared" si="0"/>
        <v>1.5102964402895982E-6</v>
      </c>
      <c r="J8" s="30">
        <v>-16</v>
      </c>
      <c r="K8" s="19">
        <f t="shared" si="6"/>
        <v>-53.209378012191394</v>
      </c>
      <c r="L8" s="26">
        <f t="shared" si="1"/>
        <v>4.7759766933596262E-6</v>
      </c>
      <c r="N8" s="15">
        <v>42</v>
      </c>
      <c r="O8" s="71">
        <f t="shared" si="2"/>
        <v>37.209378012191394</v>
      </c>
    </row>
    <row r="9" spans="1:15" x14ac:dyDescent="0.25">
      <c r="A9" s="41"/>
      <c r="C9" s="17">
        <v>250</v>
      </c>
      <c r="D9" s="43">
        <f t="shared" si="3"/>
        <v>38.97425626186174</v>
      </c>
      <c r="E9" s="19">
        <f>Weighted_Index(D5:D20,5,FALSE,FALSE)</f>
        <v>42</v>
      </c>
      <c r="F9" s="32">
        <f t="shared" si="4"/>
        <v>3.0257437381382601</v>
      </c>
      <c r="G9" s="30">
        <v>-19</v>
      </c>
      <c r="H9" s="19">
        <f t="shared" si="5"/>
        <v>-57.97425626186174</v>
      </c>
      <c r="I9" s="29">
        <f t="shared" si="0"/>
        <v>1.5943158871752442E-6</v>
      </c>
      <c r="J9" s="30">
        <v>-15</v>
      </c>
      <c r="K9" s="19">
        <f t="shared" si="6"/>
        <v>-53.97425626186174</v>
      </c>
      <c r="L9" s="26">
        <f t="shared" si="1"/>
        <v>4.004740444535654E-6</v>
      </c>
      <c r="N9" s="15">
        <v>45</v>
      </c>
      <c r="O9" s="71">
        <f t="shared" si="2"/>
        <v>38.97425626186174</v>
      </c>
    </row>
    <row r="10" spans="1:15" x14ac:dyDescent="0.25">
      <c r="A10" s="41"/>
      <c r="C10" s="17">
        <v>315</v>
      </c>
      <c r="D10" s="43">
        <f t="shared" si="3"/>
        <v>40.809162716360433</v>
      </c>
      <c r="E10" s="19">
        <f>Weighted_Index(D5:D20,6,FALSE,FALSE)</f>
        <v>45</v>
      </c>
      <c r="F10" s="33">
        <f t="shared" si="4"/>
        <v>4.1908372836395671</v>
      </c>
      <c r="G10" s="30">
        <v>-17</v>
      </c>
      <c r="H10" s="19">
        <f t="shared" si="5"/>
        <v>-57.809162716360433</v>
      </c>
      <c r="I10" s="29">
        <f t="shared" si="0"/>
        <v>1.6560892129202911E-6</v>
      </c>
      <c r="J10" s="30">
        <v>-14</v>
      </c>
      <c r="K10" s="19">
        <f t="shared" si="6"/>
        <v>-54.809162716360433</v>
      </c>
      <c r="L10" s="26">
        <f t="shared" si="1"/>
        <v>3.3043323967663319E-6</v>
      </c>
      <c r="N10" s="15">
        <v>48</v>
      </c>
      <c r="O10" s="71">
        <f t="shared" si="2"/>
        <v>40.809162716360433</v>
      </c>
    </row>
    <row r="11" spans="1:15" x14ac:dyDescent="0.25">
      <c r="A11" s="41"/>
      <c r="C11" s="17">
        <v>400</v>
      </c>
      <c r="D11" s="43">
        <f t="shared" si="3"/>
        <v>42.712761493437057</v>
      </c>
      <c r="E11" s="19">
        <f>Weighted_Index(D5:D20,7,FALSE,FALSE)</f>
        <v>48</v>
      </c>
      <c r="F11" s="33">
        <f t="shared" si="4"/>
        <v>5.287238506562943</v>
      </c>
      <c r="G11" s="30">
        <v>-15</v>
      </c>
      <c r="H11" s="19">
        <f t="shared" si="5"/>
        <v>-57.712761493437057</v>
      </c>
      <c r="I11" s="29">
        <f t="shared" si="0"/>
        <v>1.6932607857329187E-6</v>
      </c>
      <c r="J11" s="30">
        <v>-13</v>
      </c>
      <c r="K11" s="19">
        <f t="shared" si="6"/>
        <v>-55.712761493437057</v>
      </c>
      <c r="L11" s="26">
        <f t="shared" si="1"/>
        <v>2.6836374923694585E-6</v>
      </c>
      <c r="N11" s="15">
        <v>51</v>
      </c>
      <c r="O11" s="71">
        <f t="shared" si="2"/>
        <v>42.712761493437057</v>
      </c>
    </row>
    <row r="12" spans="1:15" x14ac:dyDescent="0.25">
      <c r="A12" s="45"/>
      <c r="C12" s="20">
        <v>500</v>
      </c>
      <c r="D12" s="43">
        <f t="shared" si="3"/>
        <v>44.496758331465443</v>
      </c>
      <c r="E12" s="21">
        <f>Weighted_Index(D5:D20,8,FALSE,FALSE)</f>
        <v>49</v>
      </c>
      <c r="F12" s="33">
        <f t="shared" si="4"/>
        <v>4.5032416685345567</v>
      </c>
      <c r="G12" s="30">
        <v>-13</v>
      </c>
      <c r="H12" s="19">
        <f t="shared" si="5"/>
        <v>-57.496758331465443</v>
      </c>
      <c r="I12" s="29">
        <f t="shared" si="0"/>
        <v>1.7796072519971922E-6</v>
      </c>
      <c r="J12" s="30">
        <v>-12</v>
      </c>
      <c r="K12" s="19">
        <f t="shared" si="6"/>
        <v>-56.496758331465443</v>
      </c>
      <c r="L12" s="26">
        <f t="shared" si="1"/>
        <v>2.2403927925524576E-6</v>
      </c>
      <c r="N12" s="72">
        <v>52</v>
      </c>
      <c r="O12" s="71">
        <f t="shared" si="2"/>
        <v>44.496758331465443</v>
      </c>
    </row>
    <row r="13" spans="1:15" x14ac:dyDescent="0.25">
      <c r="A13" s="41"/>
      <c r="C13" s="17">
        <v>630</v>
      </c>
      <c r="D13" s="43">
        <f t="shared" si="3"/>
        <v>46.350029535159806</v>
      </c>
      <c r="E13" s="19">
        <f>Weighted_Index(D5:D20,9,FALSE,FALSE)</f>
        <v>50</v>
      </c>
      <c r="F13" s="33">
        <f t="shared" si="4"/>
        <v>3.6499704648401945</v>
      </c>
      <c r="G13" s="30">
        <v>-12</v>
      </c>
      <c r="H13" s="19">
        <f t="shared" si="5"/>
        <v>-58.350029535159806</v>
      </c>
      <c r="I13" s="29">
        <f t="shared" si="0"/>
        <v>1.4621672306302434E-6</v>
      </c>
      <c r="J13" s="30">
        <v>-11</v>
      </c>
      <c r="K13" s="19">
        <f t="shared" si="6"/>
        <v>-57.350029535159806</v>
      </c>
      <c r="L13" s="26">
        <f t="shared" si="1"/>
        <v>1.8407594829331146E-6</v>
      </c>
      <c r="N13" s="15">
        <v>53</v>
      </c>
      <c r="O13" s="71">
        <f t="shared" si="2"/>
        <v>46.350029535159806</v>
      </c>
    </row>
    <row r="14" spans="1:15" x14ac:dyDescent="0.25">
      <c r="A14" s="41"/>
      <c r="C14" s="17">
        <v>800</v>
      </c>
      <c r="D14" s="43">
        <f t="shared" si="3"/>
        <v>48.271238898757318</v>
      </c>
      <c r="E14" s="19">
        <f>Weighted_Index(D5:D20,10,FALSE,FALSE)</f>
        <v>51</v>
      </c>
      <c r="F14" s="33">
        <f t="shared" si="4"/>
        <v>2.7287611012426822</v>
      </c>
      <c r="G14" s="30">
        <v>-11</v>
      </c>
      <c r="H14" s="19">
        <f t="shared" si="5"/>
        <v>-59.271238898757318</v>
      </c>
      <c r="I14" s="29">
        <f t="shared" si="0"/>
        <v>1.1827041211638824E-6</v>
      </c>
      <c r="J14" s="30">
        <v>-9</v>
      </c>
      <c r="K14" s="19">
        <f t="shared" si="6"/>
        <v>-57.271238898757318</v>
      </c>
      <c r="L14" s="26">
        <f t="shared" si="1"/>
        <v>1.8744597103283409E-6</v>
      </c>
      <c r="N14" s="15">
        <v>54</v>
      </c>
      <c r="O14" s="71">
        <f t="shared" si="2"/>
        <v>48.271238898757318</v>
      </c>
    </row>
    <row r="15" spans="1:15" x14ac:dyDescent="0.25">
      <c r="A15" s="41"/>
      <c r="C15" s="22">
        <v>1000</v>
      </c>
      <c r="D15" s="43">
        <f t="shared" si="3"/>
        <v>50.070555214434961</v>
      </c>
      <c r="E15" s="19">
        <f>Weighted_Index(D5:D20,11,FALSE,FALSE)</f>
        <v>52</v>
      </c>
      <c r="F15" s="33">
        <f t="shared" si="4"/>
        <v>1.929444785565039</v>
      </c>
      <c r="G15" s="30">
        <v>-10</v>
      </c>
      <c r="H15" s="19">
        <f t="shared" si="5"/>
        <v>-60.070555214434961</v>
      </c>
      <c r="I15" s="29">
        <f t="shared" si="0"/>
        <v>9.8388531501967023E-7</v>
      </c>
      <c r="J15" s="30">
        <v>-8</v>
      </c>
      <c r="K15" s="19">
        <f t="shared" si="6"/>
        <v>-58.070555214434961</v>
      </c>
      <c r="L15" s="26">
        <f t="shared" si="1"/>
        <v>1.5593531379371308E-6</v>
      </c>
      <c r="N15" s="15">
        <v>55</v>
      </c>
      <c r="O15" s="71">
        <f t="shared" si="2"/>
        <v>50.070555214434961</v>
      </c>
    </row>
    <row r="16" spans="1:15" x14ac:dyDescent="0.25">
      <c r="A16" s="41"/>
      <c r="C16" s="22">
        <v>1250</v>
      </c>
      <c r="D16" s="43">
        <f t="shared" si="3"/>
        <v>51.874175642257654</v>
      </c>
      <c r="E16" s="19">
        <f>Weighted_Index(D5:D20,12,FALSE,FALSE)</f>
        <v>53</v>
      </c>
      <c r="F16" s="33">
        <f t="shared" si="4"/>
        <v>1.1258243577423457</v>
      </c>
      <c r="G16" s="30">
        <v>-9</v>
      </c>
      <c r="H16" s="19">
        <f t="shared" si="5"/>
        <v>-60.874175642257654</v>
      </c>
      <c r="I16" s="29">
        <f t="shared" si="0"/>
        <v>8.1767823112230726E-7</v>
      </c>
      <c r="J16" s="30">
        <v>-9</v>
      </c>
      <c r="K16" s="19">
        <f t="shared" si="6"/>
        <v>-60.874175642257654</v>
      </c>
      <c r="L16" s="26">
        <f t="shared" si="1"/>
        <v>8.1767823112230726E-7</v>
      </c>
      <c r="N16" s="15">
        <v>56</v>
      </c>
      <c r="O16" s="71">
        <f t="shared" si="2"/>
        <v>51.874175642257654</v>
      </c>
    </row>
    <row r="17" spans="1:15" x14ac:dyDescent="0.25">
      <c r="A17" s="41"/>
      <c r="C17" s="22">
        <v>1600</v>
      </c>
      <c r="D17" s="43">
        <f t="shared" si="3"/>
        <v>53.874194733549601</v>
      </c>
      <c r="E17" s="19">
        <f>Weighted_Index(D5:D20,13,FALSE,FALSE)</f>
        <v>53</v>
      </c>
      <c r="F17" s="33">
        <f t="shared" si="4"/>
        <v>0</v>
      </c>
      <c r="G17" s="30">
        <v>-9</v>
      </c>
      <c r="H17" s="19">
        <f t="shared" si="5"/>
        <v>-62.874194733549601</v>
      </c>
      <c r="I17" s="29">
        <f t="shared" si="0"/>
        <v>5.1591781740334475E-7</v>
      </c>
      <c r="J17" s="30">
        <v>-10</v>
      </c>
      <c r="K17" s="19">
        <f t="shared" si="6"/>
        <v>-63.874194733549601</v>
      </c>
      <c r="L17" s="26">
        <f t="shared" si="1"/>
        <v>4.0980808916080343E-7</v>
      </c>
      <c r="N17" s="15">
        <v>56</v>
      </c>
      <c r="O17" s="71">
        <f t="shared" si="2"/>
        <v>53.874194733549601</v>
      </c>
    </row>
    <row r="18" spans="1:15" x14ac:dyDescent="0.25">
      <c r="A18" s="41"/>
      <c r="C18" s="22">
        <v>2000</v>
      </c>
      <c r="D18" s="43">
        <f t="shared" si="3"/>
        <v>55.686061544700237</v>
      </c>
      <c r="E18" s="19">
        <f>Weighted_Index(D5:D20,14,FALSE,FALSE)</f>
        <v>53</v>
      </c>
      <c r="F18" s="33">
        <f t="shared" si="4"/>
        <v>0</v>
      </c>
      <c r="G18" s="30">
        <v>-9</v>
      </c>
      <c r="H18" s="19">
        <f t="shared" si="5"/>
        <v>-64.686061544700237</v>
      </c>
      <c r="I18" s="29">
        <f t="shared" si="0"/>
        <v>3.3993340582794815E-7</v>
      </c>
      <c r="J18" s="30">
        <v>-11</v>
      </c>
      <c r="K18" s="19">
        <f t="shared" si="6"/>
        <v>-66.686061544700237</v>
      </c>
      <c r="L18" s="26">
        <f t="shared" si="1"/>
        <v>2.1448347904130966E-7</v>
      </c>
      <c r="N18" s="15">
        <v>56</v>
      </c>
      <c r="O18" s="71">
        <f t="shared" si="2"/>
        <v>55.686061544700237</v>
      </c>
    </row>
    <row r="19" spans="1:15" x14ac:dyDescent="0.25">
      <c r="A19" s="41"/>
      <c r="C19" s="22">
        <v>2500</v>
      </c>
      <c r="D19" s="43">
        <f t="shared" si="3"/>
        <v>57.501499671424199</v>
      </c>
      <c r="E19" s="19">
        <f>Weighted_Index(D5:D20,15,FALSE,FALSE)</f>
        <v>53</v>
      </c>
      <c r="F19" s="33">
        <f t="shared" si="4"/>
        <v>0</v>
      </c>
      <c r="G19" s="30">
        <v>-9</v>
      </c>
      <c r="H19" s="19">
        <f t="shared" si="5"/>
        <v>-66.501499671424199</v>
      </c>
      <c r="I19" s="29">
        <f t="shared" si="0"/>
        <v>2.2379482145136394E-7</v>
      </c>
      <c r="J19" s="30">
        <v>-13</v>
      </c>
      <c r="K19" s="19">
        <f t="shared" si="6"/>
        <v>-70.501499671424199</v>
      </c>
      <c r="L19" s="26">
        <f t="shared" si="1"/>
        <v>8.9094323152527801E-8</v>
      </c>
      <c r="N19" s="15">
        <v>56</v>
      </c>
      <c r="O19" s="71">
        <f t="shared" si="2"/>
        <v>57.501499671424199</v>
      </c>
    </row>
    <row r="20" spans="1:15" ht="15.75" thickBot="1" x14ac:dyDescent="0.3">
      <c r="A20" s="41"/>
      <c r="C20" s="22">
        <v>3150</v>
      </c>
      <c r="D20" s="43">
        <f t="shared" si="3"/>
        <v>59.385320314628572</v>
      </c>
      <c r="E20" s="19">
        <f>Weighted_Index(D5:D20,16,FALSE,FALSE)</f>
        <v>53</v>
      </c>
      <c r="F20" s="33">
        <f t="shared" si="4"/>
        <v>0</v>
      </c>
      <c r="G20" s="30">
        <v>-9</v>
      </c>
      <c r="H20" s="19">
        <f t="shared" si="5"/>
        <v>-68.385320314628572</v>
      </c>
      <c r="I20" s="29">
        <f t="shared" si="0"/>
        <v>1.4503338007457061E-7</v>
      </c>
      <c r="J20" s="30">
        <v>-15</v>
      </c>
      <c r="K20" s="19">
        <f t="shared" si="6"/>
        <v>-74.385320314628572</v>
      </c>
      <c r="L20" s="26">
        <f t="shared" si="1"/>
        <v>3.6430737952528534E-8</v>
      </c>
      <c r="N20" s="15">
        <v>56</v>
      </c>
      <c r="O20" s="71">
        <f t="shared" si="2"/>
        <v>59.385320314628572</v>
      </c>
    </row>
    <row r="21" spans="1:15" ht="18.75" thickBot="1" x14ac:dyDescent="0.3">
      <c r="C21" s="2" t="s">
        <v>37</v>
      </c>
      <c r="D21" s="23">
        <f>Weighted_Index(D5:D20,0,FALSE,FALSE)</f>
        <v>49</v>
      </c>
      <c r="E21" s="39" t="s">
        <v>48</v>
      </c>
      <c r="F21" s="35">
        <f>SUM(F5:F20)</f>
        <v>28.779978480940038</v>
      </c>
      <c r="G21" s="74" t="s">
        <v>45</v>
      </c>
      <c r="H21" s="34"/>
      <c r="I21" s="36">
        <f>-10*LOG10(SUM(I5:I20))</f>
        <v>47.622758129695796</v>
      </c>
      <c r="J21" s="74" t="s">
        <v>45</v>
      </c>
      <c r="K21" s="34"/>
      <c r="L21" s="37">
        <f>-10*LOG10(SUM(L5:L20))</f>
        <v>44.038267681471496</v>
      </c>
    </row>
    <row r="22" spans="1:15" ht="15.75" thickBot="1" x14ac:dyDescent="0.3">
      <c r="C22" s="2" t="s">
        <v>46</v>
      </c>
      <c r="D22" s="38">
        <f>INT(I21+0.49999)-D21</f>
        <v>-1</v>
      </c>
      <c r="E22" t="s">
        <v>2</v>
      </c>
    </row>
    <row r="23" spans="1:15" ht="18.75" thickBot="1" x14ac:dyDescent="0.4">
      <c r="C23" s="2" t="s">
        <v>47</v>
      </c>
      <c r="D23" s="25">
        <f>INT(L21+0.49999)-D21</f>
        <v>-5</v>
      </c>
      <c r="E23" t="s">
        <v>2</v>
      </c>
    </row>
    <row r="24" spans="1:15" x14ac:dyDescent="0.25">
      <c r="D24" s="7"/>
      <c r="F24" s="73" t="str">
        <f>IF(D21&gt;0,"NOTE: The weighted index is CHANGED!","")</f>
        <v>NOTE: The weighted index is CHANGED!</v>
      </c>
    </row>
  </sheetData>
  <conditionalFormatting sqref="F5:F2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25"/>
  <sheetViews>
    <sheetView topLeftCell="A10" workbookViewId="0">
      <selection activeCell="L10" sqref="L10"/>
    </sheetView>
  </sheetViews>
  <sheetFormatPr defaultColWidth="8.85546875" defaultRowHeight="15" x14ac:dyDescent="0.25"/>
  <cols>
    <col min="1" max="1" width="11" customWidth="1"/>
  </cols>
  <sheetData>
    <row r="1" spans="1:12" x14ac:dyDescent="0.25">
      <c r="A1" s="2" t="s">
        <v>13</v>
      </c>
    </row>
    <row r="2" spans="1:12" ht="18.75" x14ac:dyDescent="0.35">
      <c r="A2" t="s">
        <v>4</v>
      </c>
      <c r="B2" s="114">
        <f>DATA!D25</f>
        <v>598</v>
      </c>
      <c r="C2" t="s">
        <v>15</v>
      </c>
    </row>
    <row r="3" spans="1:12" ht="18.75" x14ac:dyDescent="0.35">
      <c r="A3" t="s">
        <v>100</v>
      </c>
      <c r="B3" s="114">
        <f>DATA!C25</f>
        <v>160</v>
      </c>
      <c r="C3" t="s">
        <v>15</v>
      </c>
      <c r="D3" t="s">
        <v>0</v>
      </c>
    </row>
    <row r="4" spans="1:12" ht="18" x14ac:dyDescent="0.35">
      <c r="A4" t="s">
        <v>3</v>
      </c>
      <c r="B4" s="11">
        <f>B3/B2</f>
        <v>0.26755852842809363</v>
      </c>
      <c r="D4" t="s">
        <v>7</v>
      </c>
      <c r="E4" s="12">
        <f>8.7 + 17.1*B5 + 5.7*(B5^2)</f>
        <v>0.77760208029479716</v>
      </c>
      <c r="F4" t="s">
        <v>2</v>
      </c>
      <c r="G4" s="1"/>
      <c r="K4" t="s">
        <v>9</v>
      </c>
      <c r="L4" s="12">
        <v>0.8</v>
      </c>
    </row>
    <row r="5" spans="1:12" ht="18" x14ac:dyDescent="0.35">
      <c r="A5" t="s">
        <v>5</v>
      </c>
      <c r="B5" s="4">
        <f>LOG10(B4)</f>
        <v>-0.57258120133248613</v>
      </c>
      <c r="D5" t="s">
        <v>8</v>
      </c>
      <c r="E5" s="12">
        <f>8.7+5.7*(B5^2)</f>
        <v>10.568740623080311</v>
      </c>
      <c r="F5" t="s">
        <v>2</v>
      </c>
      <c r="G5" s="1"/>
      <c r="K5" t="s">
        <v>10</v>
      </c>
      <c r="L5" s="12">
        <v>10.6</v>
      </c>
    </row>
    <row r="6" spans="1:12" x14ac:dyDescent="0.25">
      <c r="E6" s="1"/>
      <c r="G6" s="1"/>
    </row>
    <row r="7" spans="1:12" x14ac:dyDescent="0.25">
      <c r="A7" s="2" t="s">
        <v>14</v>
      </c>
    </row>
    <row r="8" spans="1:12" ht="18.75" x14ac:dyDescent="0.35">
      <c r="A8" t="s">
        <v>4</v>
      </c>
      <c r="B8" s="114">
        <f>DATA!E25</f>
        <v>598</v>
      </c>
      <c r="C8" t="s">
        <v>15</v>
      </c>
    </row>
    <row r="9" spans="1:12" ht="18.75" x14ac:dyDescent="0.35">
      <c r="A9" t="s">
        <v>100</v>
      </c>
      <c r="B9" s="114">
        <f>DATA!C25</f>
        <v>160</v>
      </c>
      <c r="C9" t="s">
        <v>15</v>
      </c>
      <c r="D9" t="s">
        <v>0</v>
      </c>
    </row>
    <row r="10" spans="1:12" ht="18" x14ac:dyDescent="0.35">
      <c r="A10" t="s">
        <v>3</v>
      </c>
      <c r="B10" s="11">
        <f>B9/B8</f>
        <v>0.26755852842809363</v>
      </c>
      <c r="D10" t="s">
        <v>7</v>
      </c>
      <c r="E10" s="12">
        <f>8.7 + 17.1*B11 + 5.7*(B11^2)</f>
        <v>0.77760208029479716</v>
      </c>
      <c r="F10" t="s">
        <v>2</v>
      </c>
      <c r="G10" s="1"/>
      <c r="K10" t="s">
        <v>9</v>
      </c>
      <c r="L10" s="12">
        <v>0.8</v>
      </c>
    </row>
    <row r="11" spans="1:12" ht="18" x14ac:dyDescent="0.35">
      <c r="A11" t="s">
        <v>5</v>
      </c>
      <c r="B11" s="4">
        <f>LOG10(B10)</f>
        <v>-0.57258120133248613</v>
      </c>
      <c r="D11" t="s">
        <v>8</v>
      </c>
      <c r="E11" s="12">
        <f>8.7+5.7*(B11^2)</f>
        <v>10.568740623080311</v>
      </c>
      <c r="F11" t="s">
        <v>2</v>
      </c>
      <c r="G11" s="1"/>
      <c r="K11" t="s">
        <v>10</v>
      </c>
      <c r="L11" s="12">
        <v>10.6</v>
      </c>
    </row>
    <row r="12" spans="1:12" x14ac:dyDescent="0.25">
      <c r="E12" s="1"/>
      <c r="G12" s="1"/>
    </row>
    <row r="13" spans="1:12" x14ac:dyDescent="0.25">
      <c r="A13" s="2" t="s">
        <v>11</v>
      </c>
    </row>
    <row r="14" spans="1:12" ht="18.75" x14ac:dyDescent="0.35">
      <c r="A14" t="s">
        <v>4</v>
      </c>
      <c r="B14" s="114">
        <f>DATA!F25</f>
        <v>285</v>
      </c>
      <c r="C14" t="s">
        <v>15</v>
      </c>
    </row>
    <row r="15" spans="1:12" ht="18.75" x14ac:dyDescent="0.35">
      <c r="A15" t="s">
        <v>100</v>
      </c>
      <c r="B15" s="114">
        <f>DATA!C25</f>
        <v>160</v>
      </c>
      <c r="C15" t="s">
        <v>15</v>
      </c>
      <c r="D15" t="s">
        <v>1</v>
      </c>
    </row>
    <row r="16" spans="1:12" ht="18" x14ac:dyDescent="0.35">
      <c r="A16" t="s">
        <v>6</v>
      </c>
      <c r="B16" s="11">
        <f>B15/B14</f>
        <v>0.56140350877192979</v>
      </c>
      <c r="D16" t="s">
        <v>7</v>
      </c>
      <c r="E16" s="13">
        <f>5.7 + 14.1*B17 + 5.7*(B17^2)</f>
        <v>2.5230981248323188</v>
      </c>
      <c r="F16" t="s">
        <v>2</v>
      </c>
      <c r="G16" s="1"/>
      <c r="K16" t="s">
        <v>9</v>
      </c>
      <c r="L16" s="12">
        <v>2.5</v>
      </c>
    </row>
    <row r="17" spans="1:12" ht="18" x14ac:dyDescent="0.35">
      <c r="A17" t="s">
        <v>5</v>
      </c>
      <c r="B17" s="4">
        <f>LOG10(B16)</f>
        <v>-0.25072487735258547</v>
      </c>
      <c r="D17" t="s">
        <v>8</v>
      </c>
      <c r="E17" s="12">
        <f>5.7 + 5.7*(B17^2)</f>
        <v>6.0583188955037741</v>
      </c>
      <c r="F17" t="s">
        <v>2</v>
      </c>
      <c r="G17" s="1"/>
      <c r="K17" t="s">
        <v>10</v>
      </c>
      <c r="L17" s="12">
        <v>6.1</v>
      </c>
    </row>
    <row r="19" spans="1:12" x14ac:dyDescent="0.25">
      <c r="A19" s="2" t="s">
        <v>12</v>
      </c>
    </row>
    <row r="20" spans="1:12" ht="18.75" x14ac:dyDescent="0.35">
      <c r="A20" t="s">
        <v>4</v>
      </c>
      <c r="B20" s="114">
        <f>DATA!G25</f>
        <v>160</v>
      </c>
      <c r="C20" t="s">
        <v>15</v>
      </c>
    </row>
    <row r="21" spans="1:12" ht="18.75" x14ac:dyDescent="0.35">
      <c r="A21" t="s">
        <v>100</v>
      </c>
      <c r="B21" s="114">
        <f>DATA!C25</f>
        <v>160</v>
      </c>
      <c r="C21" t="s">
        <v>15</v>
      </c>
      <c r="D21" t="s">
        <v>0</v>
      </c>
    </row>
    <row r="22" spans="1:12" ht="18" x14ac:dyDescent="0.35">
      <c r="A22" t="s">
        <v>6</v>
      </c>
      <c r="B22" s="11">
        <f>B21/B20</f>
        <v>1</v>
      </c>
      <c r="D22" t="s">
        <v>7</v>
      </c>
      <c r="E22" s="12">
        <f>8.7 + 17.1*B23 + 5.7*(B23^2)</f>
        <v>8.6999999999999993</v>
      </c>
      <c r="F22" t="s">
        <v>2</v>
      </c>
      <c r="K22" t="s">
        <v>9</v>
      </c>
      <c r="L22" s="12">
        <v>8.6999999999999993</v>
      </c>
    </row>
    <row r="23" spans="1:12" ht="18" x14ac:dyDescent="0.35">
      <c r="A23" t="s">
        <v>5</v>
      </c>
      <c r="B23" s="4">
        <f>LOG10(B22)</f>
        <v>0</v>
      </c>
      <c r="D23" t="s">
        <v>8</v>
      </c>
      <c r="E23" s="12">
        <f>8.7+5.7*(B23^2)</f>
        <v>8.6999999999999993</v>
      </c>
      <c r="F23" t="s">
        <v>2</v>
      </c>
      <c r="K23" t="s">
        <v>10</v>
      </c>
      <c r="L23" s="12">
        <v>8.6999999999999993</v>
      </c>
    </row>
    <row r="24" spans="1:12" x14ac:dyDescent="0.25">
      <c r="E24" s="1"/>
    </row>
    <row r="25" spans="1:12" x14ac:dyDescent="0.25">
      <c r="D25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DATA</vt:lpstr>
      <vt:lpstr>Floor</vt:lpstr>
      <vt:lpstr>Ceiling</vt:lpstr>
      <vt:lpstr>Facade Wall</vt:lpstr>
      <vt:lpstr>Window</vt:lpstr>
      <vt:lpstr>Door</vt:lpstr>
      <vt:lpstr>Facade (2)</vt:lpstr>
      <vt:lpstr>Full Facade</vt:lpstr>
      <vt:lpstr>Internal walls</vt:lpstr>
      <vt:lpstr>Joints</vt:lpstr>
      <vt:lpstr>m_d</vt:lpstr>
      <vt:lpstr>m_s</vt:lpstr>
      <vt:lpstr>thick</vt:lpstr>
    </vt:vector>
  </TitlesOfParts>
  <Company>Politecnico di Milano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Livio Mazzarella</dc:creator>
  <cp:lastModifiedBy>Alessio</cp:lastModifiedBy>
  <dcterms:created xsi:type="dcterms:W3CDTF">2016-06-07T07:12:08Z</dcterms:created>
  <dcterms:modified xsi:type="dcterms:W3CDTF">2020-10-31T11:30:24Z</dcterms:modified>
</cp:coreProperties>
</file>